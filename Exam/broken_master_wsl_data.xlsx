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1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chieloka.eze\Desktop\"/>
    </mc:Choice>
  </mc:AlternateContent>
  <xr:revisionPtr revIDLastSave="0" documentId="13_ncr:1_{A2BFCBB4-6A02-419B-B99E-5D9015A894D0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wtf" sheetId="1" r:id="rId1"/>
  </sheets>
  <definedNames>
    <definedName name="_xlnm._FilterDatabase" localSheetId="0" hidden="1">wtf!$A$1:$U$1346</definedName>
    <definedName name="_xlchart.v1.0" hidden="1">wtf!$P$1</definedName>
    <definedName name="_xlchart.v1.1" hidden="1">wtf!$P$2:$P$1369</definedName>
    <definedName name="_xlchart.v1.2" hidden="1">wtf!$P$1</definedName>
    <definedName name="_xlchart.v1.3" hidden="1">wtf!$P$2:$P$1369</definedName>
  </definedNames>
  <calcPr calcId="191029"/>
  <pivotCaches>
    <pivotCache cacheId="10" r:id="rId2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ExcelA1"/>
    </ext>
  </extLst>
</workbook>
</file>

<file path=xl/calcChain.xml><?xml version="1.0" encoding="utf-8"?>
<calcChain xmlns="http://schemas.openxmlformats.org/spreadsheetml/2006/main">
  <c r="V2" i="1" l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374" i="1"/>
  <c r="R375" i="1"/>
  <c r="R376" i="1"/>
  <c r="R377" i="1"/>
  <c r="R378" i="1"/>
  <c r="R379" i="1"/>
  <c r="R380" i="1"/>
  <c r="R381" i="1"/>
  <c r="R382" i="1"/>
  <c r="R383" i="1"/>
  <c r="R384" i="1"/>
  <c r="R385" i="1"/>
  <c r="R386" i="1"/>
  <c r="R387" i="1"/>
  <c r="R388" i="1"/>
  <c r="R389" i="1"/>
  <c r="R390" i="1"/>
  <c r="R391" i="1"/>
  <c r="R392" i="1"/>
  <c r="R393" i="1"/>
  <c r="R394" i="1"/>
  <c r="R395" i="1"/>
  <c r="R396" i="1"/>
  <c r="R397" i="1"/>
  <c r="R398" i="1"/>
  <c r="R399" i="1"/>
  <c r="R400" i="1"/>
  <c r="R401" i="1"/>
  <c r="R402" i="1"/>
  <c r="R403" i="1"/>
  <c r="R404" i="1"/>
  <c r="R405" i="1"/>
  <c r="R406" i="1"/>
  <c r="R407" i="1"/>
  <c r="R408" i="1"/>
  <c r="R409" i="1"/>
  <c r="R410" i="1"/>
  <c r="R411" i="1"/>
  <c r="R412" i="1"/>
  <c r="R413" i="1"/>
  <c r="R414" i="1"/>
  <c r="R415" i="1"/>
  <c r="R416" i="1"/>
  <c r="R417" i="1"/>
  <c r="R418" i="1"/>
  <c r="R419" i="1"/>
  <c r="R420" i="1"/>
  <c r="R421" i="1"/>
  <c r="R422" i="1"/>
  <c r="R423" i="1"/>
  <c r="R424" i="1"/>
  <c r="R425" i="1"/>
  <c r="R426" i="1"/>
  <c r="R427" i="1"/>
  <c r="R428" i="1"/>
  <c r="R429" i="1"/>
  <c r="R430" i="1"/>
  <c r="R431" i="1"/>
  <c r="R432" i="1"/>
  <c r="R433" i="1"/>
  <c r="R434" i="1"/>
  <c r="R435" i="1"/>
  <c r="R436" i="1"/>
  <c r="R437" i="1"/>
  <c r="R438" i="1"/>
  <c r="R439" i="1"/>
  <c r="R440" i="1"/>
  <c r="R441" i="1"/>
  <c r="R442" i="1"/>
  <c r="R443" i="1"/>
  <c r="R444" i="1"/>
  <c r="R445" i="1"/>
  <c r="R446" i="1"/>
  <c r="R447" i="1"/>
  <c r="R448" i="1"/>
  <c r="R449" i="1"/>
  <c r="R450" i="1"/>
  <c r="R451" i="1"/>
  <c r="R452" i="1"/>
  <c r="R453" i="1"/>
  <c r="R454" i="1"/>
  <c r="R455" i="1"/>
  <c r="R456" i="1"/>
  <c r="R457" i="1"/>
  <c r="R458" i="1"/>
  <c r="R459" i="1"/>
  <c r="R460" i="1"/>
  <c r="R461" i="1"/>
  <c r="R462" i="1"/>
  <c r="R463" i="1"/>
  <c r="R464" i="1"/>
  <c r="R465" i="1"/>
  <c r="R466" i="1"/>
  <c r="R467" i="1"/>
  <c r="R468" i="1"/>
  <c r="R469" i="1"/>
  <c r="R470" i="1"/>
  <c r="R471" i="1"/>
  <c r="R472" i="1"/>
  <c r="R473" i="1"/>
  <c r="R474" i="1"/>
  <c r="R475" i="1"/>
  <c r="R476" i="1"/>
  <c r="R477" i="1"/>
  <c r="R478" i="1"/>
  <c r="R479" i="1"/>
  <c r="R480" i="1"/>
  <c r="R481" i="1"/>
  <c r="R482" i="1"/>
  <c r="R483" i="1"/>
  <c r="R484" i="1"/>
  <c r="R485" i="1"/>
  <c r="R486" i="1"/>
  <c r="R487" i="1"/>
  <c r="R488" i="1"/>
  <c r="R489" i="1"/>
  <c r="R490" i="1"/>
  <c r="R491" i="1"/>
  <c r="R492" i="1"/>
  <c r="R493" i="1"/>
  <c r="R494" i="1"/>
  <c r="R495" i="1"/>
  <c r="R496" i="1"/>
  <c r="R497" i="1"/>
  <c r="R498" i="1"/>
  <c r="R499" i="1"/>
  <c r="R500" i="1"/>
  <c r="R501" i="1"/>
  <c r="R502" i="1"/>
  <c r="R503" i="1"/>
  <c r="R504" i="1"/>
  <c r="R505" i="1"/>
  <c r="R506" i="1"/>
  <c r="R507" i="1"/>
  <c r="R508" i="1"/>
  <c r="R509" i="1"/>
  <c r="R510" i="1"/>
  <c r="R511" i="1"/>
  <c r="R512" i="1"/>
  <c r="R513" i="1"/>
  <c r="R514" i="1"/>
  <c r="R515" i="1"/>
  <c r="R516" i="1"/>
  <c r="R517" i="1"/>
  <c r="R518" i="1"/>
  <c r="R519" i="1"/>
  <c r="R520" i="1"/>
  <c r="R521" i="1"/>
  <c r="R522" i="1"/>
  <c r="R523" i="1"/>
  <c r="R524" i="1"/>
  <c r="R525" i="1"/>
  <c r="R526" i="1"/>
  <c r="R527" i="1"/>
  <c r="R528" i="1"/>
  <c r="R529" i="1"/>
  <c r="R530" i="1"/>
  <c r="R531" i="1"/>
  <c r="R532" i="1"/>
  <c r="R533" i="1"/>
  <c r="R534" i="1"/>
  <c r="R535" i="1"/>
  <c r="R536" i="1"/>
  <c r="R537" i="1"/>
  <c r="R538" i="1"/>
  <c r="R539" i="1"/>
  <c r="R540" i="1"/>
  <c r="R541" i="1"/>
  <c r="R542" i="1"/>
  <c r="R543" i="1"/>
  <c r="R544" i="1"/>
  <c r="R545" i="1"/>
  <c r="R546" i="1"/>
  <c r="R547" i="1"/>
  <c r="R548" i="1"/>
  <c r="R549" i="1"/>
  <c r="R550" i="1"/>
  <c r="R551" i="1"/>
  <c r="R552" i="1"/>
  <c r="R553" i="1"/>
  <c r="R554" i="1"/>
  <c r="R555" i="1"/>
  <c r="R556" i="1"/>
  <c r="R557" i="1"/>
  <c r="R558" i="1"/>
  <c r="R559" i="1"/>
  <c r="R560" i="1"/>
  <c r="R561" i="1"/>
  <c r="R562" i="1"/>
  <c r="R563" i="1"/>
  <c r="R564" i="1"/>
  <c r="R565" i="1"/>
  <c r="R566" i="1"/>
  <c r="R567" i="1"/>
  <c r="R568" i="1"/>
  <c r="R569" i="1"/>
  <c r="R570" i="1"/>
  <c r="R571" i="1"/>
  <c r="R572" i="1"/>
  <c r="R573" i="1"/>
  <c r="R574" i="1"/>
  <c r="R575" i="1"/>
  <c r="R576" i="1"/>
  <c r="R577" i="1"/>
  <c r="R578" i="1"/>
  <c r="R579" i="1"/>
  <c r="R580" i="1"/>
  <c r="R581" i="1"/>
  <c r="R582" i="1"/>
  <c r="R583" i="1"/>
  <c r="R584" i="1"/>
  <c r="R585" i="1"/>
  <c r="R586" i="1"/>
  <c r="R587" i="1"/>
  <c r="R588" i="1"/>
  <c r="R589" i="1"/>
  <c r="R590" i="1"/>
  <c r="R591" i="1"/>
  <c r="R592" i="1"/>
  <c r="R593" i="1"/>
  <c r="R594" i="1"/>
  <c r="R595" i="1"/>
  <c r="R596" i="1"/>
  <c r="R597" i="1"/>
  <c r="R598" i="1"/>
  <c r="R599" i="1"/>
  <c r="R600" i="1"/>
  <c r="R601" i="1"/>
  <c r="R602" i="1"/>
  <c r="R603" i="1"/>
  <c r="R604" i="1"/>
  <c r="R605" i="1"/>
  <c r="R606" i="1"/>
  <c r="R607" i="1"/>
  <c r="R608" i="1"/>
  <c r="R609" i="1"/>
  <c r="R610" i="1"/>
  <c r="R611" i="1"/>
  <c r="R612" i="1"/>
  <c r="R613" i="1"/>
  <c r="R614" i="1"/>
  <c r="R615" i="1"/>
  <c r="R616" i="1"/>
  <c r="R617" i="1"/>
  <c r="R618" i="1"/>
  <c r="R619" i="1"/>
  <c r="R620" i="1"/>
  <c r="R621" i="1"/>
  <c r="R622" i="1"/>
  <c r="R623" i="1"/>
  <c r="R624" i="1"/>
  <c r="R625" i="1"/>
  <c r="R626" i="1"/>
  <c r="R627" i="1"/>
  <c r="R628" i="1"/>
  <c r="R629" i="1"/>
  <c r="R630" i="1"/>
  <c r="R631" i="1"/>
  <c r="R632" i="1"/>
  <c r="R633" i="1"/>
  <c r="R634" i="1"/>
  <c r="R635" i="1"/>
  <c r="R636" i="1"/>
  <c r="R637" i="1"/>
  <c r="R638" i="1"/>
  <c r="R639" i="1"/>
  <c r="R640" i="1"/>
  <c r="R641" i="1"/>
  <c r="R642" i="1"/>
  <c r="R643" i="1"/>
  <c r="R644" i="1"/>
  <c r="R645" i="1"/>
  <c r="R646" i="1"/>
  <c r="R647" i="1"/>
  <c r="R648" i="1"/>
  <c r="R649" i="1"/>
  <c r="R650" i="1"/>
  <c r="R651" i="1"/>
  <c r="R652" i="1"/>
  <c r="R653" i="1"/>
  <c r="R654" i="1"/>
  <c r="R655" i="1"/>
  <c r="R656" i="1"/>
  <c r="R657" i="1"/>
  <c r="R658" i="1"/>
  <c r="R659" i="1"/>
  <c r="R660" i="1"/>
  <c r="R661" i="1"/>
  <c r="R662" i="1"/>
  <c r="R663" i="1"/>
  <c r="R664" i="1"/>
  <c r="R665" i="1"/>
  <c r="R666" i="1"/>
  <c r="R667" i="1"/>
  <c r="R668" i="1"/>
  <c r="R669" i="1"/>
  <c r="R670" i="1"/>
  <c r="R671" i="1"/>
  <c r="R672" i="1"/>
  <c r="R673" i="1"/>
  <c r="R674" i="1"/>
  <c r="R675" i="1"/>
  <c r="R676" i="1"/>
  <c r="R677" i="1"/>
  <c r="R678" i="1"/>
  <c r="R679" i="1"/>
  <c r="R680" i="1"/>
  <c r="R681" i="1"/>
  <c r="R682" i="1"/>
  <c r="R683" i="1"/>
  <c r="R684" i="1"/>
  <c r="R685" i="1"/>
  <c r="R686" i="1"/>
  <c r="R687" i="1"/>
  <c r="R688" i="1"/>
  <c r="R689" i="1"/>
  <c r="R690" i="1"/>
  <c r="R691" i="1"/>
  <c r="R692" i="1"/>
  <c r="R693" i="1"/>
  <c r="R694" i="1"/>
  <c r="R695" i="1"/>
  <c r="R696" i="1"/>
  <c r="R697" i="1"/>
  <c r="R698" i="1"/>
  <c r="R699" i="1"/>
  <c r="R700" i="1"/>
  <c r="R701" i="1"/>
  <c r="R702" i="1"/>
  <c r="R703" i="1"/>
  <c r="R704" i="1"/>
  <c r="R705" i="1"/>
  <c r="R706" i="1"/>
  <c r="R707" i="1"/>
  <c r="R708" i="1"/>
  <c r="R709" i="1"/>
  <c r="R710" i="1"/>
  <c r="R711" i="1"/>
  <c r="R712" i="1"/>
  <c r="R713" i="1"/>
  <c r="R714" i="1"/>
  <c r="R715" i="1"/>
  <c r="R716" i="1"/>
  <c r="R717" i="1"/>
  <c r="R718" i="1"/>
  <c r="R719" i="1"/>
  <c r="R720" i="1"/>
  <c r="R721" i="1"/>
  <c r="R722" i="1"/>
  <c r="R723" i="1"/>
  <c r="R724" i="1"/>
  <c r="R725" i="1"/>
  <c r="R726" i="1"/>
  <c r="R727" i="1"/>
  <c r="R728" i="1"/>
  <c r="R729" i="1"/>
  <c r="R730" i="1"/>
  <c r="R731" i="1"/>
  <c r="R732" i="1"/>
  <c r="R733" i="1"/>
  <c r="R734" i="1"/>
  <c r="R735" i="1"/>
  <c r="R736" i="1"/>
  <c r="R737" i="1"/>
  <c r="R738" i="1"/>
  <c r="R739" i="1"/>
  <c r="R740" i="1"/>
  <c r="R741" i="1"/>
  <c r="R742" i="1"/>
  <c r="R743" i="1"/>
  <c r="R744" i="1"/>
  <c r="R745" i="1"/>
  <c r="R746" i="1"/>
  <c r="R747" i="1"/>
  <c r="R748" i="1"/>
  <c r="R749" i="1"/>
  <c r="R750" i="1"/>
  <c r="R751" i="1"/>
  <c r="R752" i="1"/>
  <c r="R753" i="1"/>
  <c r="R754" i="1"/>
  <c r="R755" i="1"/>
  <c r="R756" i="1"/>
  <c r="R757" i="1"/>
  <c r="R758" i="1"/>
  <c r="R759" i="1"/>
  <c r="R760" i="1"/>
  <c r="R761" i="1"/>
  <c r="R762" i="1"/>
  <c r="R763" i="1"/>
  <c r="R764" i="1"/>
  <c r="R765" i="1"/>
  <c r="R766" i="1"/>
  <c r="R767" i="1"/>
  <c r="R768" i="1"/>
  <c r="R769" i="1"/>
  <c r="R770" i="1"/>
  <c r="R771" i="1"/>
  <c r="R772" i="1"/>
  <c r="R773" i="1"/>
  <c r="R774" i="1"/>
  <c r="R775" i="1"/>
  <c r="R776" i="1"/>
  <c r="R777" i="1"/>
  <c r="R778" i="1"/>
  <c r="R779" i="1"/>
  <c r="R780" i="1"/>
  <c r="R781" i="1"/>
  <c r="R782" i="1"/>
  <c r="R783" i="1"/>
  <c r="R784" i="1"/>
  <c r="R785" i="1"/>
  <c r="R786" i="1"/>
  <c r="R787" i="1"/>
  <c r="R788" i="1"/>
  <c r="R789" i="1"/>
  <c r="R790" i="1"/>
  <c r="R791" i="1"/>
  <c r="R792" i="1"/>
  <c r="R793" i="1"/>
  <c r="R794" i="1"/>
  <c r="R795" i="1"/>
  <c r="R796" i="1"/>
  <c r="R797" i="1"/>
  <c r="R798" i="1"/>
  <c r="R799" i="1"/>
  <c r="R800" i="1"/>
  <c r="R801" i="1"/>
  <c r="R802" i="1"/>
  <c r="R803" i="1"/>
  <c r="R804" i="1"/>
  <c r="R805" i="1"/>
  <c r="R806" i="1"/>
  <c r="R807" i="1"/>
  <c r="R808" i="1"/>
  <c r="R809" i="1"/>
  <c r="R810" i="1"/>
  <c r="R811" i="1"/>
  <c r="R812" i="1"/>
  <c r="R813" i="1"/>
  <c r="R814" i="1"/>
  <c r="R815" i="1"/>
  <c r="R816" i="1"/>
  <c r="R817" i="1"/>
  <c r="R818" i="1"/>
  <c r="R819" i="1"/>
  <c r="R820" i="1"/>
  <c r="R821" i="1"/>
  <c r="R822" i="1"/>
  <c r="R823" i="1"/>
  <c r="R824" i="1"/>
  <c r="R825" i="1"/>
  <c r="R826" i="1"/>
  <c r="R827" i="1"/>
  <c r="R828" i="1"/>
  <c r="R829" i="1"/>
  <c r="R830" i="1"/>
  <c r="R831" i="1"/>
  <c r="R832" i="1"/>
  <c r="R833" i="1"/>
  <c r="R834" i="1"/>
  <c r="R835" i="1"/>
  <c r="R836" i="1"/>
  <c r="R837" i="1"/>
  <c r="R838" i="1"/>
  <c r="R839" i="1"/>
  <c r="R840" i="1"/>
  <c r="R841" i="1"/>
  <c r="R842" i="1"/>
  <c r="R843" i="1"/>
  <c r="R844" i="1"/>
  <c r="R845" i="1"/>
  <c r="R846" i="1"/>
  <c r="R847" i="1"/>
  <c r="R848" i="1"/>
  <c r="R849" i="1"/>
  <c r="R850" i="1"/>
  <c r="R851" i="1"/>
  <c r="R852" i="1"/>
  <c r="R853" i="1"/>
  <c r="R854" i="1"/>
  <c r="R855" i="1"/>
  <c r="R856" i="1"/>
  <c r="R857" i="1"/>
  <c r="R858" i="1"/>
  <c r="R859" i="1"/>
  <c r="R860" i="1"/>
  <c r="R861" i="1"/>
  <c r="R862" i="1"/>
  <c r="R863" i="1"/>
  <c r="R864" i="1"/>
  <c r="R865" i="1"/>
  <c r="R866" i="1"/>
  <c r="R867" i="1"/>
  <c r="R868" i="1"/>
  <c r="R869" i="1"/>
  <c r="R870" i="1"/>
  <c r="R871" i="1"/>
  <c r="R872" i="1"/>
  <c r="R873" i="1"/>
  <c r="R874" i="1"/>
  <c r="R875" i="1"/>
  <c r="R876" i="1"/>
  <c r="R877" i="1"/>
  <c r="R878" i="1"/>
  <c r="R879" i="1"/>
  <c r="R880" i="1"/>
  <c r="R881" i="1"/>
  <c r="R882" i="1"/>
  <c r="R883" i="1"/>
  <c r="R884" i="1"/>
  <c r="R885" i="1"/>
  <c r="R886" i="1"/>
  <c r="R887" i="1"/>
  <c r="R888" i="1"/>
  <c r="R889" i="1"/>
  <c r="R890" i="1"/>
  <c r="R891" i="1"/>
  <c r="R892" i="1"/>
  <c r="R893" i="1"/>
  <c r="R894" i="1"/>
  <c r="R895" i="1"/>
  <c r="R896" i="1"/>
  <c r="R897" i="1"/>
  <c r="R898" i="1"/>
  <c r="R899" i="1"/>
  <c r="R900" i="1"/>
  <c r="R901" i="1"/>
  <c r="R902" i="1"/>
  <c r="R903" i="1"/>
  <c r="R904" i="1"/>
  <c r="R905" i="1"/>
  <c r="R906" i="1"/>
  <c r="R907" i="1"/>
  <c r="R908" i="1"/>
  <c r="R909" i="1"/>
  <c r="R910" i="1"/>
  <c r="R911" i="1"/>
  <c r="R912" i="1"/>
  <c r="R913" i="1"/>
  <c r="R914" i="1"/>
  <c r="R915" i="1"/>
  <c r="R916" i="1"/>
  <c r="R917" i="1"/>
  <c r="R918" i="1"/>
  <c r="R919" i="1"/>
  <c r="R920" i="1"/>
  <c r="R921" i="1"/>
  <c r="R922" i="1"/>
  <c r="R923" i="1"/>
  <c r="R924" i="1"/>
  <c r="R925" i="1"/>
  <c r="R926" i="1"/>
  <c r="R927" i="1"/>
  <c r="R928" i="1"/>
  <c r="R929" i="1"/>
  <c r="R930" i="1"/>
  <c r="R931" i="1"/>
  <c r="R932" i="1"/>
  <c r="R933" i="1"/>
  <c r="R934" i="1"/>
  <c r="R935" i="1"/>
  <c r="R936" i="1"/>
  <c r="R937" i="1"/>
  <c r="R938" i="1"/>
  <c r="R939" i="1"/>
  <c r="R940" i="1"/>
  <c r="R941" i="1"/>
  <c r="R942" i="1"/>
  <c r="R943" i="1"/>
  <c r="R944" i="1"/>
  <c r="R945" i="1"/>
  <c r="R946" i="1"/>
  <c r="R947" i="1"/>
  <c r="R948" i="1"/>
  <c r="R949" i="1"/>
  <c r="R950" i="1"/>
  <c r="R951" i="1"/>
  <c r="R952" i="1"/>
  <c r="R953" i="1"/>
  <c r="R954" i="1"/>
  <c r="R955" i="1"/>
  <c r="R956" i="1"/>
  <c r="R957" i="1"/>
  <c r="R958" i="1"/>
  <c r="R959" i="1"/>
  <c r="R960" i="1"/>
  <c r="R961" i="1"/>
  <c r="R962" i="1"/>
  <c r="R963" i="1"/>
  <c r="R964" i="1"/>
  <c r="R965" i="1"/>
  <c r="R966" i="1"/>
  <c r="R967" i="1"/>
  <c r="R968" i="1"/>
  <c r="R969" i="1"/>
  <c r="R970" i="1"/>
  <c r="R971" i="1"/>
  <c r="R972" i="1"/>
  <c r="R973" i="1"/>
  <c r="R974" i="1"/>
  <c r="R975" i="1"/>
  <c r="R976" i="1"/>
  <c r="R977" i="1"/>
  <c r="R978" i="1"/>
  <c r="R979" i="1"/>
  <c r="R980" i="1"/>
  <c r="R981" i="1"/>
  <c r="R982" i="1"/>
  <c r="R983" i="1"/>
  <c r="R984" i="1"/>
  <c r="R985" i="1"/>
  <c r="R986" i="1"/>
  <c r="R987" i="1"/>
  <c r="R988" i="1"/>
  <c r="R989" i="1"/>
  <c r="R990" i="1"/>
  <c r="R991" i="1"/>
  <c r="R992" i="1"/>
  <c r="R993" i="1"/>
  <c r="R994" i="1"/>
  <c r="R995" i="1"/>
  <c r="R996" i="1"/>
  <c r="R997" i="1"/>
  <c r="R998" i="1"/>
  <c r="R999" i="1"/>
  <c r="R1000" i="1"/>
  <c r="R1001" i="1"/>
  <c r="R1002" i="1"/>
  <c r="R1003" i="1"/>
  <c r="R1004" i="1"/>
  <c r="R1005" i="1"/>
  <c r="R1006" i="1"/>
  <c r="R1007" i="1"/>
  <c r="R1008" i="1"/>
  <c r="R1009" i="1"/>
  <c r="R1010" i="1"/>
  <c r="R1011" i="1"/>
  <c r="R1012" i="1"/>
  <c r="R1013" i="1"/>
  <c r="R1014" i="1"/>
  <c r="R1015" i="1"/>
  <c r="R1016" i="1"/>
  <c r="R1017" i="1"/>
  <c r="R1018" i="1"/>
  <c r="R1019" i="1"/>
  <c r="R1020" i="1"/>
  <c r="R1021" i="1"/>
  <c r="R1022" i="1"/>
  <c r="R1023" i="1"/>
  <c r="R1024" i="1"/>
  <c r="R1025" i="1"/>
  <c r="R1026" i="1"/>
  <c r="R1027" i="1"/>
  <c r="R1028" i="1"/>
  <c r="R1029" i="1"/>
  <c r="R1030" i="1"/>
  <c r="R1031" i="1"/>
  <c r="R1032" i="1"/>
  <c r="R1033" i="1"/>
  <c r="R1034" i="1"/>
  <c r="R1035" i="1"/>
  <c r="R1036" i="1"/>
  <c r="R1037" i="1"/>
  <c r="R1038" i="1"/>
  <c r="R1039" i="1"/>
  <c r="R1040" i="1"/>
  <c r="R1041" i="1"/>
  <c r="R1042" i="1"/>
  <c r="R1043" i="1"/>
  <c r="R1044" i="1"/>
  <c r="R1045" i="1"/>
  <c r="R1046" i="1"/>
  <c r="R1047" i="1"/>
  <c r="R1048" i="1"/>
  <c r="R1049" i="1"/>
  <c r="R1050" i="1"/>
  <c r="R1051" i="1"/>
  <c r="R1052" i="1"/>
  <c r="R1053" i="1"/>
  <c r="R1054" i="1"/>
  <c r="R1055" i="1"/>
  <c r="R1056" i="1"/>
  <c r="R1057" i="1"/>
  <c r="R1058" i="1"/>
  <c r="R1059" i="1"/>
  <c r="R1060" i="1"/>
  <c r="R1061" i="1"/>
  <c r="R1062" i="1"/>
  <c r="R1063" i="1"/>
  <c r="R1064" i="1"/>
  <c r="R1065" i="1"/>
  <c r="R1066" i="1"/>
  <c r="R1067" i="1"/>
  <c r="R1068" i="1"/>
  <c r="R1069" i="1"/>
  <c r="R1070" i="1"/>
  <c r="R1071" i="1"/>
  <c r="R1072" i="1"/>
  <c r="R1073" i="1"/>
  <c r="R1074" i="1"/>
  <c r="R1075" i="1"/>
  <c r="R1076" i="1"/>
  <c r="R1077" i="1"/>
  <c r="R1078" i="1"/>
  <c r="R1079" i="1"/>
  <c r="R1080" i="1"/>
  <c r="R1081" i="1"/>
  <c r="R1082" i="1"/>
  <c r="R1083" i="1"/>
  <c r="R1084" i="1"/>
  <c r="R1085" i="1"/>
  <c r="R1086" i="1"/>
  <c r="R1087" i="1"/>
  <c r="R1088" i="1"/>
  <c r="R1089" i="1"/>
  <c r="R1090" i="1"/>
  <c r="R1091" i="1"/>
  <c r="R1092" i="1"/>
  <c r="R1093" i="1"/>
  <c r="R1094" i="1"/>
  <c r="R1095" i="1"/>
  <c r="R1096" i="1"/>
  <c r="R1097" i="1"/>
  <c r="R1098" i="1"/>
  <c r="R1099" i="1"/>
  <c r="R1100" i="1"/>
  <c r="R1101" i="1"/>
  <c r="R1102" i="1"/>
  <c r="R1103" i="1"/>
  <c r="R1104" i="1"/>
  <c r="R1105" i="1"/>
  <c r="R1106" i="1"/>
  <c r="R1107" i="1"/>
  <c r="R1108" i="1"/>
  <c r="R1109" i="1"/>
  <c r="R1110" i="1"/>
  <c r="R1111" i="1"/>
  <c r="R1112" i="1"/>
  <c r="R1113" i="1"/>
  <c r="R1114" i="1"/>
  <c r="R1115" i="1"/>
  <c r="R1116" i="1"/>
  <c r="R1117" i="1"/>
  <c r="R1118" i="1"/>
  <c r="R1119" i="1"/>
  <c r="R1120" i="1"/>
  <c r="R1121" i="1"/>
  <c r="R1122" i="1"/>
  <c r="R1123" i="1"/>
  <c r="R1124" i="1"/>
  <c r="R1125" i="1"/>
  <c r="R1126" i="1"/>
  <c r="R1127" i="1"/>
  <c r="R1128" i="1"/>
  <c r="R1129" i="1"/>
  <c r="R1130" i="1"/>
  <c r="R1131" i="1"/>
  <c r="R1132" i="1"/>
  <c r="R1133" i="1"/>
  <c r="R1134" i="1"/>
  <c r="R1135" i="1"/>
  <c r="R1136" i="1"/>
  <c r="R1137" i="1"/>
  <c r="R1138" i="1"/>
  <c r="R1139" i="1"/>
  <c r="R1140" i="1"/>
  <c r="R1141" i="1"/>
  <c r="R1142" i="1"/>
  <c r="R1143" i="1"/>
  <c r="R1144" i="1"/>
  <c r="R1145" i="1"/>
  <c r="R1146" i="1"/>
  <c r="R1147" i="1"/>
  <c r="R1148" i="1"/>
  <c r="R1149" i="1"/>
  <c r="R1150" i="1"/>
  <c r="R1151" i="1"/>
  <c r="R1152" i="1"/>
  <c r="R1153" i="1"/>
  <c r="R1154" i="1"/>
  <c r="R1155" i="1"/>
  <c r="R1156" i="1"/>
  <c r="R1157" i="1"/>
  <c r="R1158" i="1"/>
  <c r="R1159" i="1"/>
  <c r="R1160" i="1"/>
  <c r="R1161" i="1"/>
  <c r="R1162" i="1"/>
  <c r="R1163" i="1"/>
  <c r="R1164" i="1"/>
  <c r="R1165" i="1"/>
  <c r="R1166" i="1"/>
  <c r="R1167" i="1"/>
  <c r="R1168" i="1"/>
  <c r="R1169" i="1"/>
  <c r="R1170" i="1"/>
  <c r="R1171" i="1"/>
  <c r="R1172" i="1"/>
  <c r="R1173" i="1"/>
  <c r="R1174" i="1"/>
  <c r="R1175" i="1"/>
  <c r="R1176" i="1"/>
  <c r="R1177" i="1"/>
  <c r="R1178" i="1"/>
  <c r="R1179" i="1"/>
  <c r="R1180" i="1"/>
  <c r="R1181" i="1"/>
  <c r="R1182" i="1"/>
  <c r="R1183" i="1"/>
  <c r="R1184" i="1"/>
  <c r="R1185" i="1"/>
  <c r="R1186" i="1"/>
  <c r="R1187" i="1"/>
  <c r="R1188" i="1"/>
  <c r="R1189" i="1"/>
  <c r="R1190" i="1"/>
  <c r="R1191" i="1"/>
  <c r="R1192" i="1"/>
  <c r="R1193" i="1"/>
  <c r="R1194" i="1"/>
  <c r="R1195" i="1"/>
  <c r="R1196" i="1"/>
  <c r="R1197" i="1"/>
  <c r="R1198" i="1"/>
  <c r="R1199" i="1"/>
  <c r="R1200" i="1"/>
  <c r="R1201" i="1"/>
  <c r="R1202" i="1"/>
  <c r="R1203" i="1"/>
  <c r="R1204" i="1"/>
  <c r="R1205" i="1"/>
  <c r="R1206" i="1"/>
  <c r="R1207" i="1"/>
  <c r="R1208" i="1"/>
  <c r="R1209" i="1"/>
  <c r="R1210" i="1"/>
  <c r="R1211" i="1"/>
  <c r="R1212" i="1"/>
  <c r="R1213" i="1"/>
  <c r="R1214" i="1"/>
  <c r="R1215" i="1"/>
  <c r="R1216" i="1"/>
  <c r="R1217" i="1"/>
  <c r="R1218" i="1"/>
  <c r="R1219" i="1"/>
  <c r="R1220" i="1"/>
  <c r="R1221" i="1"/>
  <c r="R1222" i="1"/>
  <c r="R1223" i="1"/>
  <c r="R1224" i="1"/>
  <c r="R1225" i="1"/>
  <c r="R1226" i="1"/>
  <c r="R1227" i="1"/>
  <c r="R1228" i="1"/>
  <c r="R1229" i="1"/>
  <c r="R1230" i="1"/>
  <c r="R1231" i="1"/>
  <c r="R1232" i="1"/>
  <c r="R1233" i="1"/>
  <c r="R1234" i="1"/>
  <c r="R1235" i="1"/>
  <c r="R1236" i="1"/>
  <c r="R1237" i="1"/>
  <c r="R1238" i="1"/>
  <c r="R1239" i="1"/>
  <c r="R1240" i="1"/>
  <c r="R1241" i="1"/>
  <c r="R1242" i="1"/>
  <c r="R1243" i="1"/>
  <c r="R1244" i="1"/>
  <c r="R1245" i="1"/>
  <c r="R1246" i="1"/>
  <c r="R1247" i="1"/>
  <c r="R1248" i="1"/>
  <c r="R1249" i="1"/>
  <c r="R1250" i="1"/>
  <c r="R1251" i="1"/>
  <c r="R1252" i="1"/>
  <c r="R1253" i="1"/>
  <c r="R1254" i="1"/>
  <c r="R1255" i="1"/>
  <c r="R1256" i="1"/>
  <c r="R1257" i="1"/>
  <c r="R1258" i="1"/>
  <c r="R1259" i="1"/>
  <c r="R1260" i="1"/>
  <c r="R1261" i="1"/>
  <c r="R1262" i="1"/>
  <c r="R1263" i="1"/>
  <c r="R1264" i="1"/>
  <c r="R1265" i="1"/>
  <c r="R1266" i="1"/>
  <c r="R1267" i="1"/>
  <c r="R1268" i="1"/>
  <c r="R1269" i="1"/>
  <c r="R1270" i="1"/>
  <c r="R1271" i="1"/>
  <c r="R1272" i="1"/>
  <c r="R1273" i="1"/>
  <c r="R1274" i="1"/>
  <c r="R1275" i="1"/>
  <c r="R1276" i="1"/>
  <c r="R1277" i="1"/>
  <c r="R1278" i="1"/>
  <c r="R1279" i="1"/>
  <c r="R1280" i="1"/>
  <c r="R1281" i="1"/>
  <c r="R1282" i="1"/>
  <c r="R1283" i="1"/>
  <c r="R1284" i="1"/>
  <c r="R1285" i="1"/>
  <c r="R1286" i="1"/>
  <c r="R1287" i="1"/>
  <c r="R1288" i="1"/>
  <c r="R1289" i="1"/>
  <c r="R1290" i="1"/>
  <c r="R1291" i="1"/>
  <c r="R1292" i="1"/>
  <c r="R1293" i="1"/>
  <c r="R1294" i="1"/>
  <c r="R1295" i="1"/>
  <c r="R1296" i="1"/>
  <c r="R1297" i="1"/>
  <c r="R1298" i="1"/>
  <c r="R1299" i="1"/>
  <c r="R1300" i="1"/>
  <c r="R1301" i="1"/>
  <c r="R1302" i="1"/>
  <c r="R1303" i="1"/>
  <c r="R1304" i="1"/>
  <c r="R1305" i="1"/>
  <c r="R1306" i="1"/>
  <c r="R1307" i="1"/>
  <c r="R1308" i="1"/>
  <c r="R1309" i="1"/>
  <c r="R1310" i="1"/>
  <c r="R1311" i="1"/>
  <c r="R1312" i="1"/>
  <c r="R1313" i="1"/>
  <c r="R1314" i="1"/>
  <c r="R1315" i="1"/>
  <c r="R1316" i="1"/>
  <c r="R1317" i="1"/>
  <c r="R1318" i="1"/>
  <c r="R1319" i="1"/>
  <c r="R1320" i="1"/>
  <c r="R1321" i="1"/>
  <c r="R1322" i="1"/>
  <c r="R1323" i="1"/>
  <c r="R1324" i="1"/>
  <c r="R1325" i="1"/>
  <c r="R1326" i="1"/>
  <c r="R1327" i="1"/>
  <c r="R1328" i="1"/>
  <c r="R1329" i="1"/>
  <c r="R1330" i="1"/>
  <c r="R1331" i="1"/>
  <c r="R1332" i="1"/>
  <c r="R1333" i="1"/>
  <c r="R1334" i="1"/>
  <c r="R1335" i="1"/>
  <c r="R1336" i="1"/>
  <c r="R1337" i="1"/>
  <c r="R1338" i="1"/>
  <c r="R1339" i="1"/>
  <c r="R1340" i="1"/>
  <c r="R1341" i="1"/>
  <c r="R1342" i="1"/>
  <c r="R1343" i="1"/>
  <c r="R1344" i="1"/>
  <c r="R1345" i="1"/>
  <c r="R1346" i="1"/>
  <c r="R2" i="1"/>
  <c r="U3" i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8" i="1"/>
  <c r="U99" i="1"/>
  <c r="U100" i="1"/>
  <c r="U101" i="1"/>
  <c r="U102" i="1"/>
  <c r="U103" i="1"/>
  <c r="U104" i="1"/>
  <c r="U105" i="1"/>
  <c r="U106" i="1"/>
  <c r="U107" i="1"/>
  <c r="U108" i="1"/>
  <c r="U109" i="1"/>
  <c r="U110" i="1"/>
  <c r="U111" i="1"/>
  <c r="U112" i="1"/>
  <c r="U113" i="1"/>
  <c r="U114" i="1"/>
  <c r="U115" i="1"/>
  <c r="U116" i="1"/>
  <c r="U117" i="1"/>
  <c r="U118" i="1"/>
  <c r="U119" i="1"/>
  <c r="U120" i="1"/>
  <c r="U121" i="1"/>
  <c r="U122" i="1"/>
  <c r="U123" i="1"/>
  <c r="U124" i="1"/>
  <c r="U125" i="1"/>
  <c r="U126" i="1"/>
  <c r="U127" i="1"/>
  <c r="U128" i="1"/>
  <c r="U129" i="1"/>
  <c r="U130" i="1"/>
  <c r="U131" i="1"/>
  <c r="U132" i="1"/>
  <c r="U133" i="1"/>
  <c r="U134" i="1"/>
  <c r="U135" i="1"/>
  <c r="U136" i="1"/>
  <c r="U137" i="1"/>
  <c r="U138" i="1"/>
  <c r="U139" i="1"/>
  <c r="U140" i="1"/>
  <c r="U141" i="1"/>
  <c r="U142" i="1"/>
  <c r="U143" i="1"/>
  <c r="U144" i="1"/>
  <c r="U145" i="1"/>
  <c r="U146" i="1"/>
  <c r="U147" i="1"/>
  <c r="U148" i="1"/>
  <c r="U149" i="1"/>
  <c r="U150" i="1"/>
  <c r="U151" i="1"/>
  <c r="U152" i="1"/>
  <c r="U153" i="1"/>
  <c r="U154" i="1"/>
  <c r="U155" i="1"/>
  <c r="U156" i="1"/>
  <c r="U157" i="1"/>
  <c r="U158" i="1"/>
  <c r="U159" i="1"/>
  <c r="U160" i="1"/>
  <c r="U161" i="1"/>
  <c r="U162" i="1"/>
  <c r="U163" i="1"/>
  <c r="U164" i="1"/>
  <c r="U165" i="1"/>
  <c r="U166" i="1"/>
  <c r="U167" i="1"/>
  <c r="U168" i="1"/>
  <c r="U169" i="1"/>
  <c r="U170" i="1"/>
  <c r="U171" i="1"/>
  <c r="U172" i="1"/>
  <c r="U173" i="1"/>
  <c r="U174" i="1"/>
  <c r="U175" i="1"/>
  <c r="U176" i="1"/>
  <c r="U177" i="1"/>
  <c r="U178" i="1"/>
  <c r="U179" i="1"/>
  <c r="U180" i="1"/>
  <c r="U181" i="1"/>
  <c r="U182" i="1"/>
  <c r="U183" i="1"/>
  <c r="U184" i="1"/>
  <c r="U185" i="1"/>
  <c r="U186" i="1"/>
  <c r="U187" i="1"/>
  <c r="U188" i="1"/>
  <c r="U189" i="1"/>
  <c r="U190" i="1"/>
  <c r="U191" i="1"/>
  <c r="U192" i="1"/>
  <c r="U193" i="1"/>
  <c r="U194" i="1"/>
  <c r="U195" i="1"/>
  <c r="U196" i="1"/>
  <c r="U197" i="1"/>
  <c r="U198" i="1"/>
  <c r="U199" i="1"/>
  <c r="U200" i="1"/>
  <c r="U201" i="1"/>
  <c r="U202" i="1"/>
  <c r="U203" i="1"/>
  <c r="U204" i="1"/>
  <c r="U205" i="1"/>
  <c r="U206" i="1"/>
  <c r="U207" i="1"/>
  <c r="U208" i="1"/>
  <c r="U209" i="1"/>
  <c r="U210" i="1"/>
  <c r="U211" i="1"/>
  <c r="U212" i="1"/>
  <c r="U213" i="1"/>
  <c r="U214" i="1"/>
  <c r="U215" i="1"/>
  <c r="U216" i="1"/>
  <c r="U217" i="1"/>
  <c r="U218" i="1"/>
  <c r="U219" i="1"/>
  <c r="U220" i="1"/>
  <c r="U221" i="1"/>
  <c r="U222" i="1"/>
  <c r="U223" i="1"/>
  <c r="U224" i="1"/>
  <c r="U225" i="1"/>
  <c r="U226" i="1"/>
  <c r="U227" i="1"/>
  <c r="U228" i="1"/>
  <c r="U229" i="1"/>
  <c r="U230" i="1"/>
  <c r="U231" i="1"/>
  <c r="U232" i="1"/>
  <c r="U233" i="1"/>
  <c r="U234" i="1"/>
  <c r="U235" i="1"/>
  <c r="U236" i="1"/>
  <c r="U237" i="1"/>
  <c r="U238" i="1"/>
  <c r="U239" i="1"/>
  <c r="U240" i="1"/>
  <c r="U241" i="1"/>
  <c r="U242" i="1"/>
  <c r="U243" i="1"/>
  <c r="U244" i="1"/>
  <c r="U245" i="1"/>
  <c r="U246" i="1"/>
  <c r="U247" i="1"/>
  <c r="U248" i="1"/>
  <c r="U249" i="1"/>
  <c r="U250" i="1"/>
  <c r="U251" i="1"/>
  <c r="U252" i="1"/>
  <c r="U253" i="1"/>
  <c r="U254" i="1"/>
  <c r="U255" i="1"/>
  <c r="U256" i="1"/>
  <c r="U257" i="1"/>
  <c r="U258" i="1"/>
  <c r="U259" i="1"/>
  <c r="U260" i="1"/>
  <c r="U261" i="1"/>
  <c r="U262" i="1"/>
  <c r="U263" i="1"/>
  <c r="U264" i="1"/>
  <c r="U265" i="1"/>
  <c r="U266" i="1"/>
  <c r="U267" i="1"/>
  <c r="U268" i="1"/>
  <c r="U269" i="1"/>
  <c r="U270" i="1"/>
  <c r="U271" i="1"/>
  <c r="U272" i="1"/>
  <c r="U273" i="1"/>
  <c r="U274" i="1"/>
  <c r="U275" i="1"/>
  <c r="U276" i="1"/>
  <c r="U277" i="1"/>
  <c r="U278" i="1"/>
  <c r="U279" i="1"/>
  <c r="U280" i="1"/>
  <c r="U281" i="1"/>
  <c r="U282" i="1"/>
  <c r="U283" i="1"/>
  <c r="U284" i="1"/>
  <c r="U285" i="1"/>
  <c r="U286" i="1"/>
  <c r="U287" i="1"/>
  <c r="U288" i="1"/>
  <c r="U289" i="1"/>
  <c r="U290" i="1"/>
  <c r="U291" i="1"/>
  <c r="U292" i="1"/>
  <c r="U293" i="1"/>
  <c r="U294" i="1"/>
  <c r="U295" i="1"/>
  <c r="U296" i="1"/>
  <c r="U297" i="1"/>
  <c r="U298" i="1"/>
  <c r="U299" i="1"/>
  <c r="U300" i="1"/>
  <c r="U301" i="1"/>
  <c r="U302" i="1"/>
  <c r="U303" i="1"/>
  <c r="U304" i="1"/>
  <c r="U305" i="1"/>
  <c r="U306" i="1"/>
  <c r="U307" i="1"/>
  <c r="U308" i="1"/>
  <c r="U309" i="1"/>
  <c r="U310" i="1"/>
  <c r="U311" i="1"/>
  <c r="U312" i="1"/>
  <c r="U313" i="1"/>
  <c r="U314" i="1"/>
  <c r="U315" i="1"/>
  <c r="U316" i="1"/>
  <c r="U317" i="1"/>
  <c r="U318" i="1"/>
  <c r="U319" i="1"/>
  <c r="U320" i="1"/>
  <c r="U321" i="1"/>
  <c r="U322" i="1"/>
  <c r="U323" i="1"/>
  <c r="U324" i="1"/>
  <c r="U325" i="1"/>
  <c r="U326" i="1"/>
  <c r="U327" i="1"/>
  <c r="U328" i="1"/>
  <c r="U329" i="1"/>
  <c r="U330" i="1"/>
  <c r="U331" i="1"/>
  <c r="U332" i="1"/>
  <c r="U333" i="1"/>
  <c r="U334" i="1"/>
  <c r="U335" i="1"/>
  <c r="U336" i="1"/>
  <c r="U337" i="1"/>
  <c r="U338" i="1"/>
  <c r="U339" i="1"/>
  <c r="U340" i="1"/>
  <c r="U341" i="1"/>
  <c r="U342" i="1"/>
  <c r="U343" i="1"/>
  <c r="U344" i="1"/>
  <c r="U345" i="1"/>
  <c r="U346" i="1"/>
  <c r="U347" i="1"/>
  <c r="U348" i="1"/>
  <c r="U349" i="1"/>
  <c r="U350" i="1"/>
  <c r="U351" i="1"/>
  <c r="U352" i="1"/>
  <c r="U353" i="1"/>
  <c r="U354" i="1"/>
  <c r="U355" i="1"/>
  <c r="U356" i="1"/>
  <c r="U357" i="1"/>
  <c r="U358" i="1"/>
  <c r="U359" i="1"/>
  <c r="U360" i="1"/>
  <c r="U361" i="1"/>
  <c r="U362" i="1"/>
  <c r="U363" i="1"/>
  <c r="U364" i="1"/>
  <c r="U365" i="1"/>
  <c r="U366" i="1"/>
  <c r="U367" i="1"/>
  <c r="U368" i="1"/>
  <c r="U369" i="1"/>
  <c r="U370" i="1"/>
  <c r="U371" i="1"/>
  <c r="U372" i="1"/>
  <c r="U373" i="1"/>
  <c r="U374" i="1"/>
  <c r="U375" i="1"/>
  <c r="U376" i="1"/>
  <c r="U377" i="1"/>
  <c r="U378" i="1"/>
  <c r="U379" i="1"/>
  <c r="U380" i="1"/>
  <c r="U381" i="1"/>
  <c r="U382" i="1"/>
  <c r="U383" i="1"/>
  <c r="U384" i="1"/>
  <c r="U385" i="1"/>
  <c r="U386" i="1"/>
  <c r="U387" i="1"/>
  <c r="U388" i="1"/>
  <c r="U389" i="1"/>
  <c r="U390" i="1"/>
  <c r="U391" i="1"/>
  <c r="U392" i="1"/>
  <c r="U393" i="1"/>
  <c r="U394" i="1"/>
  <c r="U395" i="1"/>
  <c r="U396" i="1"/>
  <c r="U397" i="1"/>
  <c r="U398" i="1"/>
  <c r="U399" i="1"/>
  <c r="U400" i="1"/>
  <c r="U401" i="1"/>
  <c r="U402" i="1"/>
  <c r="U403" i="1"/>
  <c r="U404" i="1"/>
  <c r="U405" i="1"/>
  <c r="U406" i="1"/>
  <c r="U407" i="1"/>
  <c r="U408" i="1"/>
  <c r="U409" i="1"/>
  <c r="U410" i="1"/>
  <c r="U411" i="1"/>
  <c r="U412" i="1"/>
  <c r="U413" i="1"/>
  <c r="U414" i="1"/>
  <c r="U415" i="1"/>
  <c r="U416" i="1"/>
  <c r="U417" i="1"/>
  <c r="U418" i="1"/>
  <c r="U419" i="1"/>
  <c r="U420" i="1"/>
  <c r="U421" i="1"/>
  <c r="U422" i="1"/>
  <c r="U423" i="1"/>
  <c r="U424" i="1"/>
  <c r="U425" i="1"/>
  <c r="U426" i="1"/>
  <c r="U427" i="1"/>
  <c r="U428" i="1"/>
  <c r="U429" i="1"/>
  <c r="U430" i="1"/>
  <c r="U431" i="1"/>
  <c r="U432" i="1"/>
  <c r="U433" i="1"/>
  <c r="U434" i="1"/>
  <c r="U435" i="1"/>
  <c r="U436" i="1"/>
  <c r="U437" i="1"/>
  <c r="U438" i="1"/>
  <c r="U439" i="1"/>
  <c r="U440" i="1"/>
  <c r="U441" i="1"/>
  <c r="U442" i="1"/>
  <c r="U443" i="1"/>
  <c r="U444" i="1"/>
  <c r="U445" i="1"/>
  <c r="U446" i="1"/>
  <c r="U447" i="1"/>
  <c r="U448" i="1"/>
  <c r="U449" i="1"/>
  <c r="U450" i="1"/>
  <c r="U451" i="1"/>
  <c r="U452" i="1"/>
  <c r="U453" i="1"/>
  <c r="U454" i="1"/>
  <c r="U455" i="1"/>
  <c r="U456" i="1"/>
  <c r="U457" i="1"/>
  <c r="U458" i="1"/>
  <c r="U459" i="1"/>
  <c r="U460" i="1"/>
  <c r="U461" i="1"/>
  <c r="U462" i="1"/>
  <c r="U463" i="1"/>
  <c r="U464" i="1"/>
  <c r="U465" i="1"/>
  <c r="U466" i="1"/>
  <c r="U467" i="1"/>
  <c r="U468" i="1"/>
  <c r="U469" i="1"/>
  <c r="U470" i="1"/>
  <c r="U471" i="1"/>
  <c r="U472" i="1"/>
  <c r="U473" i="1"/>
  <c r="U474" i="1"/>
  <c r="U475" i="1"/>
  <c r="U476" i="1"/>
  <c r="U477" i="1"/>
  <c r="U478" i="1"/>
  <c r="U479" i="1"/>
  <c r="U480" i="1"/>
  <c r="U481" i="1"/>
  <c r="U482" i="1"/>
  <c r="U483" i="1"/>
  <c r="U484" i="1"/>
  <c r="U485" i="1"/>
  <c r="U486" i="1"/>
  <c r="U487" i="1"/>
  <c r="U488" i="1"/>
  <c r="U489" i="1"/>
  <c r="U490" i="1"/>
  <c r="U491" i="1"/>
  <c r="U492" i="1"/>
  <c r="U493" i="1"/>
  <c r="U494" i="1"/>
  <c r="U495" i="1"/>
  <c r="U496" i="1"/>
  <c r="U497" i="1"/>
  <c r="U498" i="1"/>
  <c r="U499" i="1"/>
  <c r="U500" i="1"/>
  <c r="U501" i="1"/>
  <c r="U502" i="1"/>
  <c r="U503" i="1"/>
  <c r="U504" i="1"/>
  <c r="U505" i="1"/>
  <c r="U506" i="1"/>
  <c r="U507" i="1"/>
  <c r="U508" i="1"/>
  <c r="U509" i="1"/>
  <c r="U510" i="1"/>
  <c r="U511" i="1"/>
  <c r="U512" i="1"/>
  <c r="U513" i="1"/>
  <c r="U514" i="1"/>
  <c r="U515" i="1"/>
  <c r="U516" i="1"/>
  <c r="U517" i="1"/>
  <c r="U518" i="1"/>
  <c r="U519" i="1"/>
  <c r="U520" i="1"/>
  <c r="U521" i="1"/>
  <c r="U522" i="1"/>
  <c r="U523" i="1"/>
  <c r="U524" i="1"/>
  <c r="U525" i="1"/>
  <c r="U526" i="1"/>
  <c r="U527" i="1"/>
  <c r="U528" i="1"/>
  <c r="U529" i="1"/>
  <c r="U530" i="1"/>
  <c r="U531" i="1"/>
  <c r="U532" i="1"/>
  <c r="U533" i="1"/>
  <c r="U534" i="1"/>
  <c r="U535" i="1"/>
  <c r="U536" i="1"/>
  <c r="U537" i="1"/>
  <c r="U538" i="1"/>
  <c r="U539" i="1"/>
  <c r="U540" i="1"/>
  <c r="U541" i="1"/>
  <c r="U542" i="1"/>
  <c r="U543" i="1"/>
  <c r="U544" i="1"/>
  <c r="U545" i="1"/>
  <c r="U546" i="1"/>
  <c r="U547" i="1"/>
  <c r="U548" i="1"/>
  <c r="U549" i="1"/>
  <c r="U550" i="1"/>
  <c r="U551" i="1"/>
  <c r="U552" i="1"/>
  <c r="U553" i="1"/>
  <c r="U554" i="1"/>
  <c r="U555" i="1"/>
  <c r="U556" i="1"/>
  <c r="U557" i="1"/>
  <c r="U558" i="1"/>
  <c r="U559" i="1"/>
  <c r="U560" i="1"/>
  <c r="U561" i="1"/>
  <c r="U562" i="1"/>
  <c r="U563" i="1"/>
  <c r="U564" i="1"/>
  <c r="U565" i="1"/>
  <c r="U566" i="1"/>
  <c r="U567" i="1"/>
  <c r="U568" i="1"/>
  <c r="U569" i="1"/>
  <c r="U570" i="1"/>
  <c r="U571" i="1"/>
  <c r="U572" i="1"/>
  <c r="U573" i="1"/>
  <c r="U574" i="1"/>
  <c r="U575" i="1"/>
  <c r="U576" i="1"/>
  <c r="U577" i="1"/>
  <c r="U578" i="1"/>
  <c r="U579" i="1"/>
  <c r="U580" i="1"/>
  <c r="U581" i="1"/>
  <c r="U582" i="1"/>
  <c r="U583" i="1"/>
  <c r="U584" i="1"/>
  <c r="U585" i="1"/>
  <c r="U586" i="1"/>
  <c r="U587" i="1"/>
  <c r="U588" i="1"/>
  <c r="U589" i="1"/>
  <c r="U590" i="1"/>
  <c r="U591" i="1"/>
  <c r="U592" i="1"/>
  <c r="U593" i="1"/>
  <c r="U594" i="1"/>
  <c r="U595" i="1"/>
  <c r="U596" i="1"/>
  <c r="U597" i="1"/>
  <c r="U598" i="1"/>
  <c r="U599" i="1"/>
  <c r="U600" i="1"/>
  <c r="U601" i="1"/>
  <c r="U602" i="1"/>
  <c r="U603" i="1"/>
  <c r="U604" i="1"/>
  <c r="U605" i="1"/>
  <c r="U606" i="1"/>
  <c r="U607" i="1"/>
  <c r="U608" i="1"/>
  <c r="U609" i="1"/>
  <c r="U610" i="1"/>
  <c r="U611" i="1"/>
  <c r="U612" i="1"/>
  <c r="U613" i="1"/>
  <c r="U614" i="1"/>
  <c r="U615" i="1"/>
  <c r="U616" i="1"/>
  <c r="U617" i="1"/>
  <c r="U618" i="1"/>
  <c r="U619" i="1"/>
  <c r="U620" i="1"/>
  <c r="U621" i="1"/>
  <c r="U622" i="1"/>
  <c r="U623" i="1"/>
  <c r="U624" i="1"/>
  <c r="U625" i="1"/>
  <c r="U626" i="1"/>
  <c r="U627" i="1"/>
  <c r="U628" i="1"/>
  <c r="U629" i="1"/>
  <c r="U630" i="1"/>
  <c r="U631" i="1"/>
  <c r="U632" i="1"/>
  <c r="U633" i="1"/>
  <c r="U634" i="1"/>
  <c r="U635" i="1"/>
  <c r="U636" i="1"/>
  <c r="U637" i="1"/>
  <c r="U638" i="1"/>
  <c r="U639" i="1"/>
  <c r="U640" i="1"/>
  <c r="U641" i="1"/>
  <c r="U642" i="1"/>
  <c r="U643" i="1"/>
  <c r="U644" i="1"/>
  <c r="U645" i="1"/>
  <c r="U646" i="1"/>
  <c r="U647" i="1"/>
  <c r="U648" i="1"/>
  <c r="U649" i="1"/>
  <c r="U650" i="1"/>
  <c r="U651" i="1"/>
  <c r="U652" i="1"/>
  <c r="U653" i="1"/>
  <c r="U654" i="1"/>
  <c r="U655" i="1"/>
  <c r="U656" i="1"/>
  <c r="U657" i="1"/>
  <c r="U658" i="1"/>
  <c r="U659" i="1"/>
  <c r="U660" i="1"/>
  <c r="U661" i="1"/>
  <c r="U662" i="1"/>
  <c r="U663" i="1"/>
  <c r="U664" i="1"/>
  <c r="U665" i="1"/>
  <c r="U666" i="1"/>
  <c r="U667" i="1"/>
  <c r="U668" i="1"/>
  <c r="U669" i="1"/>
  <c r="U670" i="1"/>
  <c r="U671" i="1"/>
  <c r="U672" i="1"/>
  <c r="U673" i="1"/>
  <c r="U674" i="1"/>
  <c r="U675" i="1"/>
  <c r="U676" i="1"/>
  <c r="U677" i="1"/>
  <c r="U678" i="1"/>
  <c r="U679" i="1"/>
  <c r="U680" i="1"/>
  <c r="U681" i="1"/>
  <c r="U682" i="1"/>
  <c r="U683" i="1"/>
  <c r="U684" i="1"/>
  <c r="U685" i="1"/>
  <c r="U686" i="1"/>
  <c r="U687" i="1"/>
  <c r="U688" i="1"/>
  <c r="U689" i="1"/>
  <c r="U690" i="1"/>
  <c r="U691" i="1"/>
  <c r="U692" i="1"/>
  <c r="U693" i="1"/>
  <c r="U694" i="1"/>
  <c r="U695" i="1"/>
  <c r="U696" i="1"/>
  <c r="U697" i="1"/>
  <c r="U698" i="1"/>
  <c r="U699" i="1"/>
  <c r="U700" i="1"/>
  <c r="U701" i="1"/>
  <c r="U702" i="1"/>
  <c r="U703" i="1"/>
  <c r="U704" i="1"/>
  <c r="U705" i="1"/>
  <c r="U706" i="1"/>
  <c r="U707" i="1"/>
  <c r="U708" i="1"/>
  <c r="U709" i="1"/>
  <c r="U710" i="1"/>
  <c r="U711" i="1"/>
  <c r="U712" i="1"/>
  <c r="U713" i="1"/>
  <c r="U714" i="1"/>
  <c r="U715" i="1"/>
  <c r="U716" i="1"/>
  <c r="U717" i="1"/>
  <c r="U718" i="1"/>
  <c r="U719" i="1"/>
  <c r="U720" i="1"/>
  <c r="U721" i="1"/>
  <c r="U722" i="1"/>
  <c r="U723" i="1"/>
  <c r="U724" i="1"/>
  <c r="U725" i="1"/>
  <c r="U726" i="1"/>
  <c r="U727" i="1"/>
  <c r="U728" i="1"/>
  <c r="U729" i="1"/>
  <c r="U730" i="1"/>
  <c r="U731" i="1"/>
  <c r="U732" i="1"/>
  <c r="U733" i="1"/>
  <c r="U734" i="1"/>
  <c r="U735" i="1"/>
  <c r="U736" i="1"/>
  <c r="U737" i="1"/>
  <c r="U738" i="1"/>
  <c r="U739" i="1"/>
  <c r="U740" i="1"/>
  <c r="U741" i="1"/>
  <c r="U742" i="1"/>
  <c r="U743" i="1"/>
  <c r="U744" i="1"/>
  <c r="U745" i="1"/>
  <c r="U746" i="1"/>
  <c r="U747" i="1"/>
  <c r="U748" i="1"/>
  <c r="U749" i="1"/>
  <c r="U750" i="1"/>
  <c r="U751" i="1"/>
  <c r="U752" i="1"/>
  <c r="U753" i="1"/>
  <c r="U754" i="1"/>
  <c r="U755" i="1"/>
  <c r="U756" i="1"/>
  <c r="U757" i="1"/>
  <c r="U758" i="1"/>
  <c r="U759" i="1"/>
  <c r="U760" i="1"/>
  <c r="U761" i="1"/>
  <c r="U762" i="1"/>
  <c r="U763" i="1"/>
  <c r="U764" i="1"/>
  <c r="U765" i="1"/>
  <c r="U766" i="1"/>
  <c r="U767" i="1"/>
  <c r="U768" i="1"/>
  <c r="U769" i="1"/>
  <c r="U770" i="1"/>
  <c r="U771" i="1"/>
  <c r="U772" i="1"/>
  <c r="U773" i="1"/>
  <c r="U774" i="1"/>
  <c r="U775" i="1"/>
  <c r="U776" i="1"/>
  <c r="U777" i="1"/>
  <c r="U778" i="1"/>
  <c r="U779" i="1"/>
  <c r="U780" i="1"/>
  <c r="U781" i="1"/>
  <c r="U782" i="1"/>
  <c r="U783" i="1"/>
  <c r="U784" i="1"/>
  <c r="U785" i="1"/>
  <c r="U786" i="1"/>
  <c r="U787" i="1"/>
  <c r="U788" i="1"/>
  <c r="U789" i="1"/>
  <c r="U790" i="1"/>
  <c r="U791" i="1"/>
  <c r="U792" i="1"/>
  <c r="U793" i="1"/>
  <c r="U794" i="1"/>
  <c r="U795" i="1"/>
  <c r="U796" i="1"/>
  <c r="U797" i="1"/>
  <c r="U798" i="1"/>
  <c r="U799" i="1"/>
  <c r="U800" i="1"/>
  <c r="U801" i="1"/>
  <c r="U802" i="1"/>
  <c r="U803" i="1"/>
  <c r="U804" i="1"/>
  <c r="U805" i="1"/>
  <c r="U806" i="1"/>
  <c r="U807" i="1"/>
  <c r="U808" i="1"/>
  <c r="U809" i="1"/>
  <c r="U810" i="1"/>
  <c r="U811" i="1"/>
  <c r="U812" i="1"/>
  <c r="U813" i="1"/>
  <c r="U814" i="1"/>
  <c r="U815" i="1"/>
  <c r="U816" i="1"/>
  <c r="U817" i="1"/>
  <c r="U818" i="1"/>
  <c r="U819" i="1"/>
  <c r="U820" i="1"/>
  <c r="U821" i="1"/>
  <c r="U822" i="1"/>
  <c r="U823" i="1"/>
  <c r="U824" i="1"/>
  <c r="U825" i="1"/>
  <c r="U826" i="1"/>
  <c r="U827" i="1"/>
  <c r="U828" i="1"/>
  <c r="U829" i="1"/>
  <c r="U830" i="1"/>
  <c r="U831" i="1"/>
  <c r="U832" i="1"/>
  <c r="U833" i="1"/>
  <c r="U834" i="1"/>
  <c r="U835" i="1"/>
  <c r="U836" i="1"/>
  <c r="U837" i="1"/>
  <c r="U838" i="1"/>
  <c r="U839" i="1"/>
  <c r="U840" i="1"/>
  <c r="U841" i="1"/>
  <c r="U842" i="1"/>
  <c r="U843" i="1"/>
  <c r="U844" i="1"/>
  <c r="U845" i="1"/>
  <c r="U846" i="1"/>
  <c r="U847" i="1"/>
  <c r="U848" i="1"/>
  <c r="U849" i="1"/>
  <c r="U850" i="1"/>
  <c r="U851" i="1"/>
  <c r="U852" i="1"/>
  <c r="U853" i="1"/>
  <c r="U854" i="1"/>
  <c r="U855" i="1"/>
  <c r="U856" i="1"/>
  <c r="U857" i="1"/>
  <c r="U858" i="1"/>
  <c r="U859" i="1"/>
  <c r="U860" i="1"/>
  <c r="U861" i="1"/>
  <c r="U862" i="1"/>
  <c r="U863" i="1"/>
  <c r="U864" i="1"/>
  <c r="U865" i="1"/>
  <c r="U866" i="1"/>
  <c r="U867" i="1"/>
  <c r="U868" i="1"/>
  <c r="U869" i="1"/>
  <c r="U870" i="1"/>
  <c r="U871" i="1"/>
  <c r="U872" i="1"/>
  <c r="U873" i="1"/>
  <c r="U874" i="1"/>
  <c r="U875" i="1"/>
  <c r="U876" i="1"/>
  <c r="U877" i="1"/>
  <c r="U878" i="1"/>
  <c r="U879" i="1"/>
  <c r="U880" i="1"/>
  <c r="U881" i="1"/>
  <c r="U882" i="1"/>
  <c r="U883" i="1"/>
  <c r="U884" i="1"/>
  <c r="U885" i="1"/>
  <c r="U886" i="1"/>
  <c r="U887" i="1"/>
  <c r="U888" i="1"/>
  <c r="U889" i="1"/>
  <c r="U890" i="1"/>
  <c r="U891" i="1"/>
  <c r="U892" i="1"/>
  <c r="U893" i="1"/>
  <c r="U894" i="1"/>
  <c r="U895" i="1"/>
  <c r="U896" i="1"/>
  <c r="U897" i="1"/>
  <c r="U898" i="1"/>
  <c r="U899" i="1"/>
  <c r="U900" i="1"/>
  <c r="U901" i="1"/>
  <c r="U902" i="1"/>
  <c r="U903" i="1"/>
  <c r="U904" i="1"/>
  <c r="U905" i="1"/>
  <c r="U906" i="1"/>
  <c r="U907" i="1"/>
  <c r="U908" i="1"/>
  <c r="U909" i="1"/>
  <c r="U910" i="1"/>
  <c r="U911" i="1"/>
  <c r="U912" i="1"/>
  <c r="U913" i="1"/>
  <c r="U914" i="1"/>
  <c r="U915" i="1"/>
  <c r="U916" i="1"/>
  <c r="U917" i="1"/>
  <c r="U918" i="1"/>
  <c r="U919" i="1"/>
  <c r="U920" i="1"/>
  <c r="U921" i="1"/>
  <c r="U922" i="1"/>
  <c r="U923" i="1"/>
  <c r="U924" i="1"/>
  <c r="U925" i="1"/>
  <c r="U926" i="1"/>
  <c r="U927" i="1"/>
  <c r="U928" i="1"/>
  <c r="U929" i="1"/>
  <c r="U930" i="1"/>
  <c r="U931" i="1"/>
  <c r="U932" i="1"/>
  <c r="U933" i="1"/>
  <c r="U934" i="1"/>
  <c r="U935" i="1"/>
  <c r="U936" i="1"/>
  <c r="U937" i="1"/>
  <c r="U938" i="1"/>
  <c r="U939" i="1"/>
  <c r="U940" i="1"/>
  <c r="U941" i="1"/>
  <c r="U942" i="1"/>
  <c r="U943" i="1"/>
  <c r="U944" i="1"/>
  <c r="U945" i="1"/>
  <c r="U946" i="1"/>
  <c r="U947" i="1"/>
  <c r="U948" i="1"/>
  <c r="U949" i="1"/>
  <c r="U950" i="1"/>
  <c r="U951" i="1"/>
  <c r="U952" i="1"/>
  <c r="U953" i="1"/>
  <c r="U954" i="1"/>
  <c r="U955" i="1"/>
  <c r="U956" i="1"/>
  <c r="U957" i="1"/>
  <c r="U958" i="1"/>
  <c r="U959" i="1"/>
  <c r="U960" i="1"/>
  <c r="U961" i="1"/>
  <c r="U962" i="1"/>
  <c r="U963" i="1"/>
  <c r="U964" i="1"/>
  <c r="U965" i="1"/>
  <c r="U966" i="1"/>
  <c r="U967" i="1"/>
  <c r="U968" i="1"/>
  <c r="U969" i="1"/>
  <c r="U970" i="1"/>
  <c r="U971" i="1"/>
  <c r="U972" i="1"/>
  <c r="U973" i="1"/>
  <c r="U974" i="1"/>
  <c r="U975" i="1"/>
  <c r="U976" i="1"/>
  <c r="U977" i="1"/>
  <c r="U978" i="1"/>
  <c r="U979" i="1"/>
  <c r="U980" i="1"/>
  <c r="U981" i="1"/>
  <c r="U982" i="1"/>
  <c r="U983" i="1"/>
  <c r="U984" i="1"/>
  <c r="U985" i="1"/>
  <c r="U986" i="1"/>
  <c r="U987" i="1"/>
  <c r="U988" i="1"/>
  <c r="U989" i="1"/>
  <c r="U990" i="1"/>
  <c r="U991" i="1"/>
  <c r="U992" i="1"/>
  <c r="U993" i="1"/>
  <c r="U994" i="1"/>
  <c r="U995" i="1"/>
  <c r="U996" i="1"/>
  <c r="U997" i="1"/>
  <c r="U998" i="1"/>
  <c r="U999" i="1"/>
  <c r="U1000" i="1"/>
  <c r="U1001" i="1"/>
  <c r="U1002" i="1"/>
  <c r="U1003" i="1"/>
  <c r="U1004" i="1"/>
  <c r="U1005" i="1"/>
  <c r="U1006" i="1"/>
  <c r="U1007" i="1"/>
  <c r="U1008" i="1"/>
  <c r="U1009" i="1"/>
  <c r="U1010" i="1"/>
  <c r="U1011" i="1"/>
  <c r="U1012" i="1"/>
  <c r="U1013" i="1"/>
  <c r="U1014" i="1"/>
  <c r="U1015" i="1"/>
  <c r="U1016" i="1"/>
  <c r="U1017" i="1"/>
  <c r="U1018" i="1"/>
  <c r="U1019" i="1"/>
  <c r="U1020" i="1"/>
  <c r="U1021" i="1"/>
  <c r="U1022" i="1"/>
  <c r="U1023" i="1"/>
  <c r="U1024" i="1"/>
  <c r="U1025" i="1"/>
  <c r="U1026" i="1"/>
  <c r="U1027" i="1"/>
  <c r="U1028" i="1"/>
  <c r="U1029" i="1"/>
  <c r="U1030" i="1"/>
  <c r="U1031" i="1"/>
  <c r="U1032" i="1"/>
  <c r="U1033" i="1"/>
  <c r="U1034" i="1"/>
  <c r="U1035" i="1"/>
  <c r="U1036" i="1"/>
  <c r="U1037" i="1"/>
  <c r="U1038" i="1"/>
  <c r="U1039" i="1"/>
  <c r="U1040" i="1"/>
  <c r="U1041" i="1"/>
  <c r="U1042" i="1"/>
  <c r="U1043" i="1"/>
  <c r="U1044" i="1"/>
  <c r="U1045" i="1"/>
  <c r="U1046" i="1"/>
  <c r="U1047" i="1"/>
  <c r="U1048" i="1"/>
  <c r="U1049" i="1"/>
  <c r="U1050" i="1"/>
  <c r="U1051" i="1"/>
  <c r="U1052" i="1"/>
  <c r="U1053" i="1"/>
  <c r="U1054" i="1"/>
  <c r="U1055" i="1"/>
  <c r="U1056" i="1"/>
  <c r="U1057" i="1"/>
  <c r="U1058" i="1"/>
  <c r="U1059" i="1"/>
  <c r="U1060" i="1"/>
  <c r="U1061" i="1"/>
  <c r="U1062" i="1"/>
  <c r="U1063" i="1"/>
  <c r="U1064" i="1"/>
  <c r="U1065" i="1"/>
  <c r="U1066" i="1"/>
  <c r="U1067" i="1"/>
  <c r="U1068" i="1"/>
  <c r="U1069" i="1"/>
  <c r="U1070" i="1"/>
  <c r="U1071" i="1"/>
  <c r="U1072" i="1"/>
  <c r="U1073" i="1"/>
  <c r="U1074" i="1"/>
  <c r="U1075" i="1"/>
  <c r="U1076" i="1"/>
  <c r="U1077" i="1"/>
  <c r="U1078" i="1"/>
  <c r="U1079" i="1"/>
  <c r="U1080" i="1"/>
  <c r="U1081" i="1"/>
  <c r="U1082" i="1"/>
  <c r="U1083" i="1"/>
  <c r="U1084" i="1"/>
  <c r="U1085" i="1"/>
  <c r="U1086" i="1"/>
  <c r="U1087" i="1"/>
  <c r="U1088" i="1"/>
  <c r="U1089" i="1"/>
  <c r="U1090" i="1"/>
  <c r="U1091" i="1"/>
  <c r="U1092" i="1"/>
  <c r="U1093" i="1"/>
  <c r="U1094" i="1"/>
  <c r="U1095" i="1"/>
  <c r="U1096" i="1"/>
  <c r="U1097" i="1"/>
  <c r="U1098" i="1"/>
  <c r="U1099" i="1"/>
  <c r="U1100" i="1"/>
  <c r="U1101" i="1"/>
  <c r="U1102" i="1"/>
  <c r="U1103" i="1"/>
  <c r="U1104" i="1"/>
  <c r="U1105" i="1"/>
  <c r="U1106" i="1"/>
  <c r="U1107" i="1"/>
  <c r="U1108" i="1"/>
  <c r="U1109" i="1"/>
  <c r="U1110" i="1"/>
  <c r="U1111" i="1"/>
  <c r="U1112" i="1"/>
  <c r="U1113" i="1"/>
  <c r="U1114" i="1"/>
  <c r="U1115" i="1"/>
  <c r="U1116" i="1"/>
  <c r="U1117" i="1"/>
  <c r="U1118" i="1"/>
  <c r="U1119" i="1"/>
  <c r="U1120" i="1"/>
  <c r="U1121" i="1"/>
  <c r="U1122" i="1"/>
  <c r="U1123" i="1"/>
  <c r="U1124" i="1"/>
  <c r="U1125" i="1"/>
  <c r="U1126" i="1"/>
  <c r="U1127" i="1"/>
  <c r="U1128" i="1"/>
  <c r="U1129" i="1"/>
  <c r="U1130" i="1"/>
  <c r="U1131" i="1"/>
  <c r="U1132" i="1"/>
  <c r="U1133" i="1"/>
  <c r="U1134" i="1"/>
  <c r="U1135" i="1"/>
  <c r="U1136" i="1"/>
  <c r="U1137" i="1"/>
  <c r="U1138" i="1"/>
  <c r="U1139" i="1"/>
  <c r="U1140" i="1"/>
  <c r="U1141" i="1"/>
  <c r="U1142" i="1"/>
  <c r="U1143" i="1"/>
  <c r="U1144" i="1"/>
  <c r="U1145" i="1"/>
  <c r="U1146" i="1"/>
  <c r="U1147" i="1"/>
  <c r="U1148" i="1"/>
  <c r="U1149" i="1"/>
  <c r="U1150" i="1"/>
  <c r="U1151" i="1"/>
  <c r="U1152" i="1"/>
  <c r="U1153" i="1"/>
  <c r="U1154" i="1"/>
  <c r="U1155" i="1"/>
  <c r="U1156" i="1"/>
  <c r="U1157" i="1"/>
  <c r="U1158" i="1"/>
  <c r="U1159" i="1"/>
  <c r="U1160" i="1"/>
  <c r="U1161" i="1"/>
  <c r="U1162" i="1"/>
  <c r="U1163" i="1"/>
  <c r="U1164" i="1"/>
  <c r="U1165" i="1"/>
  <c r="U1166" i="1"/>
  <c r="U1167" i="1"/>
  <c r="U1168" i="1"/>
  <c r="U1169" i="1"/>
  <c r="U1170" i="1"/>
  <c r="U1171" i="1"/>
  <c r="U1172" i="1"/>
  <c r="U1173" i="1"/>
  <c r="U1174" i="1"/>
  <c r="U1175" i="1"/>
  <c r="U1176" i="1"/>
  <c r="U1177" i="1"/>
  <c r="U1178" i="1"/>
  <c r="U1179" i="1"/>
  <c r="U1180" i="1"/>
  <c r="U1181" i="1"/>
  <c r="U1182" i="1"/>
  <c r="U1183" i="1"/>
  <c r="U1184" i="1"/>
  <c r="U1185" i="1"/>
  <c r="U1186" i="1"/>
  <c r="U1187" i="1"/>
  <c r="U1188" i="1"/>
  <c r="U1189" i="1"/>
  <c r="U1190" i="1"/>
  <c r="U1191" i="1"/>
  <c r="U1192" i="1"/>
  <c r="U1193" i="1"/>
  <c r="U1194" i="1"/>
  <c r="U1195" i="1"/>
  <c r="U1196" i="1"/>
  <c r="U1197" i="1"/>
  <c r="U1198" i="1"/>
  <c r="U1199" i="1"/>
  <c r="U1200" i="1"/>
  <c r="U1201" i="1"/>
  <c r="U1202" i="1"/>
  <c r="U1203" i="1"/>
  <c r="U1204" i="1"/>
  <c r="U1205" i="1"/>
  <c r="U1206" i="1"/>
  <c r="U1207" i="1"/>
  <c r="U1208" i="1"/>
  <c r="U1209" i="1"/>
  <c r="U1210" i="1"/>
  <c r="U1211" i="1"/>
  <c r="U1212" i="1"/>
  <c r="U1213" i="1"/>
  <c r="U1214" i="1"/>
  <c r="U1215" i="1"/>
  <c r="U1216" i="1"/>
  <c r="U1217" i="1"/>
  <c r="U1218" i="1"/>
  <c r="U1219" i="1"/>
  <c r="U1220" i="1"/>
  <c r="U1221" i="1"/>
  <c r="U1222" i="1"/>
  <c r="U1223" i="1"/>
  <c r="U1224" i="1"/>
  <c r="U1225" i="1"/>
  <c r="U1226" i="1"/>
  <c r="U1227" i="1"/>
  <c r="U1228" i="1"/>
  <c r="U1229" i="1"/>
  <c r="U1230" i="1"/>
  <c r="U1231" i="1"/>
  <c r="U1232" i="1"/>
  <c r="U1233" i="1"/>
  <c r="U1234" i="1"/>
  <c r="U1235" i="1"/>
  <c r="U1236" i="1"/>
  <c r="U1237" i="1"/>
  <c r="U1238" i="1"/>
  <c r="U1239" i="1"/>
  <c r="U1240" i="1"/>
  <c r="U1241" i="1"/>
  <c r="U1242" i="1"/>
  <c r="U1243" i="1"/>
  <c r="U1244" i="1"/>
  <c r="U1245" i="1"/>
  <c r="U1246" i="1"/>
  <c r="U1247" i="1"/>
  <c r="U1248" i="1"/>
  <c r="U1249" i="1"/>
  <c r="U1250" i="1"/>
  <c r="U1251" i="1"/>
  <c r="U1252" i="1"/>
  <c r="U1253" i="1"/>
  <c r="U1254" i="1"/>
  <c r="U1255" i="1"/>
  <c r="U1256" i="1"/>
  <c r="U1257" i="1"/>
  <c r="U1258" i="1"/>
  <c r="U1259" i="1"/>
  <c r="U1260" i="1"/>
  <c r="U1261" i="1"/>
  <c r="U1262" i="1"/>
  <c r="U1263" i="1"/>
  <c r="U1264" i="1"/>
  <c r="U1265" i="1"/>
  <c r="U1266" i="1"/>
  <c r="U1267" i="1"/>
  <c r="U1268" i="1"/>
  <c r="U1269" i="1"/>
  <c r="U1270" i="1"/>
  <c r="U1271" i="1"/>
  <c r="U1272" i="1"/>
  <c r="U1273" i="1"/>
  <c r="U1274" i="1"/>
  <c r="U1275" i="1"/>
  <c r="U1276" i="1"/>
  <c r="U1277" i="1"/>
  <c r="U1278" i="1"/>
  <c r="U1279" i="1"/>
  <c r="U1280" i="1"/>
  <c r="U1281" i="1"/>
  <c r="U1282" i="1"/>
  <c r="U1283" i="1"/>
  <c r="U1284" i="1"/>
  <c r="U1285" i="1"/>
  <c r="U1286" i="1"/>
  <c r="U1287" i="1"/>
  <c r="U1288" i="1"/>
  <c r="U1289" i="1"/>
  <c r="U1290" i="1"/>
  <c r="U1291" i="1"/>
  <c r="U1292" i="1"/>
  <c r="U1293" i="1"/>
  <c r="U1294" i="1"/>
  <c r="U1295" i="1"/>
  <c r="U1296" i="1"/>
  <c r="U1297" i="1"/>
  <c r="U1298" i="1"/>
  <c r="U1299" i="1"/>
  <c r="U1300" i="1"/>
  <c r="U1301" i="1"/>
  <c r="U1302" i="1"/>
  <c r="U1303" i="1"/>
  <c r="U1304" i="1"/>
  <c r="U1305" i="1"/>
  <c r="U1306" i="1"/>
  <c r="U1307" i="1"/>
  <c r="U1308" i="1"/>
  <c r="U1309" i="1"/>
  <c r="U1310" i="1"/>
  <c r="U1311" i="1"/>
  <c r="U1312" i="1"/>
  <c r="U1313" i="1"/>
  <c r="U1314" i="1"/>
  <c r="U1315" i="1"/>
  <c r="U1316" i="1"/>
  <c r="U1317" i="1"/>
  <c r="U1318" i="1"/>
  <c r="U1319" i="1"/>
  <c r="U1320" i="1"/>
  <c r="U1321" i="1"/>
  <c r="U1322" i="1"/>
  <c r="U1323" i="1"/>
  <c r="U1324" i="1"/>
  <c r="U1325" i="1"/>
  <c r="U1326" i="1"/>
  <c r="U1327" i="1"/>
  <c r="U1328" i="1"/>
  <c r="U1329" i="1"/>
  <c r="U1330" i="1"/>
  <c r="U1331" i="1"/>
  <c r="U1332" i="1"/>
  <c r="U1333" i="1"/>
  <c r="U1334" i="1"/>
  <c r="U1335" i="1"/>
  <c r="U1336" i="1"/>
  <c r="U1337" i="1"/>
  <c r="U1338" i="1"/>
  <c r="U1339" i="1"/>
  <c r="U1340" i="1"/>
  <c r="U1341" i="1"/>
  <c r="U1342" i="1"/>
  <c r="U1343" i="1"/>
  <c r="U1344" i="1"/>
  <c r="U1345" i="1"/>
  <c r="U1346" i="1"/>
  <c r="U2" i="1"/>
</calcChain>
</file>

<file path=xl/sharedStrings.xml><?xml version="1.0" encoding="utf-8"?>
<sst xmlns="http://schemas.openxmlformats.org/spreadsheetml/2006/main" count="8076" uniqueCount="691">
  <si>
    <t>Player</t>
  </si>
  <si>
    <t>Nation</t>
  </si>
  <si>
    <t>Position</t>
  </si>
  <si>
    <t>Team</t>
  </si>
  <si>
    <t>Age</t>
  </si>
  <si>
    <t>Born</t>
  </si>
  <si>
    <t>MP</t>
  </si>
  <si>
    <t>Starts</t>
  </si>
  <si>
    <t>Min</t>
  </si>
  <si>
    <t>Goals</t>
  </si>
  <si>
    <t>Assists</t>
  </si>
  <si>
    <t>G-PK</t>
  </si>
  <si>
    <t>PK</t>
  </si>
  <si>
    <t>Pkatt</t>
  </si>
  <si>
    <t>Yellow</t>
  </si>
  <si>
    <t>Red</t>
  </si>
  <si>
    <t>Season</t>
  </si>
  <si>
    <t>Team’s Points for Season</t>
  </si>
  <si>
    <t>Alsu Abdullina</t>
  </si>
  <si>
    <t>DF,FW</t>
  </si>
  <si>
    <t>Chelsea</t>
  </si>
  <si>
    <t>2022-2023</t>
  </si>
  <si>
    <t>Princess Ademiluyi</t>
  </si>
  <si>
    <t>MF,FW</t>
  </si>
  <si>
    <t>West Ham</t>
  </si>
  <si>
    <t>Michelle Agyemang</t>
  </si>
  <si>
    <t>FW</t>
  </si>
  <si>
    <t>Arsenal</t>
  </si>
  <si>
    <t>Asmita Ale</t>
  </si>
  <si>
    <t>DF,MF</t>
  </si>
  <si>
    <t>Tottenham</t>
  </si>
  <si>
    <t>Laia Aleixandri</t>
  </si>
  <si>
    <t>Manchester City</t>
  </si>
  <si>
    <t>Tinaya Alexander</t>
  </si>
  <si>
    <t>MF</t>
  </si>
  <si>
    <t>Reading</t>
  </si>
  <si>
    <t>Remi Allen</t>
  </si>
  <si>
    <t>Aston Villa</t>
  </si>
  <si>
    <t>Filippa Angeldahl</t>
  </si>
  <si>
    <t>Mackenzie Arnold</t>
  </si>
  <si>
    <t>GK</t>
  </si>
  <si>
    <t>Viviane Asseyi</t>
  </si>
  <si>
    <t>FW,MF</t>
  </si>
  <si>
    <t>Izzy Atkinson</t>
  </si>
  <si>
    <t>Rosella Ayane</t>
  </si>
  <si>
    <t>Ava Baker</t>
  </si>
  <si>
    <t>Leicester City</t>
  </si>
  <si>
    <t>Libby Bance</t>
  </si>
  <si>
    <t>Brighton</t>
  </si>
  <si>
    <t>Molly Bartrip</t>
  </si>
  <si>
    <t>DF</t>
  </si>
  <si>
    <t>Ona Batlle</t>
  </si>
  <si>
    <t>Manchester Utd</t>
  </si>
  <si>
    <t>Jennifer Beattie</t>
  </si>
  <si>
    <t>Agnes Beever-Jones</t>
  </si>
  <si>
    <t>Everton</t>
  </si>
  <si>
    <t>Hanna Bennison</t>
  </si>
  <si>
    <t>Ann-Katrin Berger</t>
  </si>
  <si>
    <t>Guro Bergsvand</t>
  </si>
  <si>
    <t>Nathalie Björn</t>
  </si>
  <si>
    <t>Stina Blackstenius</t>
  </si>
  <si>
    <t>Julie Blakstad</t>
  </si>
  <si>
    <t>Laura Blindkilde</t>
  </si>
  <si>
    <t>Hannah Blundell</t>
  </si>
  <si>
    <t>Missy Bo Kearns</t>
  </si>
  <si>
    <t>Liverpool</t>
  </si>
  <si>
    <t>Gemma Bonner</t>
  </si>
  <si>
    <t>CJ Bott</t>
  </si>
  <si>
    <t>Chantelle Boye-Hlorkah</t>
  </si>
  <si>
    <t>Ellie Brazil</t>
  </si>
  <si>
    <t>Millie Bright</t>
  </si>
  <si>
    <t>Courtney Brosnan</t>
  </si>
  <si>
    <t>Georgia Brougham</t>
  </si>
  <si>
    <t>Dagný Brynjarsdóttir</t>
  </si>
  <si>
    <t>Faye Bryson</t>
  </si>
  <si>
    <t>Kadeisha Buchanan</t>
  </si>
  <si>
    <t>Jackie Burns</t>
  </si>
  <si>
    <t>Vilde Bøe Risa</t>
  </si>
  <si>
    <t>Hannah Cain</t>
  </si>
  <si>
    <t>Diane Caldwell</t>
  </si>
  <si>
    <t>Megan Campbell</t>
  </si>
  <si>
    <t>Jelena Čanković</t>
  </si>
  <si>
    <t>Danielle Carter</t>
  </si>
  <si>
    <t>Jess Carter</t>
  </si>
  <si>
    <t>Estelle Cascarino</t>
  </si>
  <si>
    <t>Kerstin Casparij</t>
  </si>
  <si>
    <t>Deyna Castellanos</t>
  </si>
  <si>
    <t>Steph Catley</t>
  </si>
  <si>
    <t>Niamh Charles</t>
  </si>
  <si>
    <t>Izzy Christiansen</t>
  </si>
  <si>
    <t>Hawa Cissoko</t>
  </si>
  <si>
    <t>Abby Clarke</t>
  </si>
  <si>
    <t>Aimee Claypole</t>
  </si>
  <si>
    <t>Megan Connolly</t>
  </si>
  <si>
    <t>MF,DF</t>
  </si>
  <si>
    <t>Shannon Cooke</t>
  </si>
  <si>
    <t>Laura Coombs</t>
  </si>
  <si>
    <t>Deanna Cooper</t>
  </si>
  <si>
    <t>Rachel Corsie</t>
  </si>
  <si>
    <t>Eartha Cumings</t>
  </si>
  <si>
    <t>Erin Cuthbert</t>
  </si>
  <si>
    <t>Sabrina D'Angelo</t>
  </si>
  <si>
    <t>Jemima Dahou</t>
  </si>
  <si>
    <t>Kenza Dali</t>
  </si>
  <si>
    <t>Rachel Daly</t>
  </si>
  <si>
    <t>Yana Daniels</t>
  </si>
  <si>
    <t>Anouk Denton</t>
  </si>
  <si>
    <t>Natasha Dowie</t>
  </si>
  <si>
    <t>Mary Earps</t>
  </si>
  <si>
    <t>Georgia Eaton-Collins</t>
  </si>
  <si>
    <t>Amalie Eikeland</t>
  </si>
  <si>
    <t>Bethany England</t>
  </si>
  <si>
    <t>Magdalena Eriksson</t>
  </si>
  <si>
    <t>Gemma Evans</t>
  </si>
  <si>
    <t>Lisa Evans</t>
  </si>
  <si>
    <t>Niamh Fahey</t>
  </si>
  <si>
    <t>Chelsea Ferguson</t>
  </si>
  <si>
    <t>Melisa Filis</t>
  </si>
  <si>
    <t>Megan Finnigan</t>
  </si>
  <si>
    <t>Grace Fisk</t>
  </si>
  <si>
    <t>Gilly Flaherty</t>
  </si>
  <si>
    <t>Keira Flannery</t>
  </si>
  <si>
    <t>Jessie Fleming</t>
  </si>
  <si>
    <t>Natasha Flint</t>
  </si>
  <si>
    <t>Caitlin Foord</t>
  </si>
  <si>
    <t>Mary Fowler</t>
  </si>
  <si>
    <t>Jorja Fox</t>
  </si>
  <si>
    <t>Rachel Furness</t>
  </si>
  <si>
    <t>Aurora Galli</t>
  </si>
  <si>
    <t>Leah Galton</t>
  </si>
  <si>
    <t>Lucía García</t>
  </si>
  <si>
    <t>Gabrielle George</t>
  </si>
  <si>
    <t>Lee Geum-min</t>
  </si>
  <si>
    <t>Emily Gielnik</t>
  </si>
  <si>
    <t>Gio</t>
  </si>
  <si>
    <t>Freya Godfrey</t>
  </si>
  <si>
    <t>Teyah Goldie</t>
  </si>
  <si>
    <t>Isobel Goodwin</t>
  </si>
  <si>
    <t>Missy Goodwin</t>
  </si>
  <si>
    <t>Kit Graham</t>
  </si>
  <si>
    <t>Lucy Graham</t>
  </si>
  <si>
    <t>Josephine Green</t>
  </si>
  <si>
    <t>Kayleigh Green</t>
  </si>
  <si>
    <t>Alex Greenwood</t>
  </si>
  <si>
    <t>Freya Gregory</t>
  </si>
  <si>
    <t>Lenna Gunning-Williams</t>
  </si>
  <si>
    <t>Hannah Hampton</t>
  </si>
  <si>
    <t>Kirsty Hanson</t>
  </si>
  <si>
    <t>Pernille Harder</t>
  </si>
  <si>
    <t>Natasha Harding</t>
  </si>
  <si>
    <t>Emma Harries</t>
  </si>
  <si>
    <t>Kerys Harrop</t>
  </si>
  <si>
    <t>Yui Hasegawa</t>
  </si>
  <si>
    <t>Honoka Hayashi</t>
  </si>
  <si>
    <t>Lauren Hemp</t>
  </si>
  <si>
    <t>Brooke Hendrix</t>
  </si>
  <si>
    <t>Sophie Hillyerd</t>
  </si>
  <si>
    <t>Taylor Hinds</t>
  </si>
  <si>
    <t>Ceri Holland</t>
  </si>
  <si>
    <t>Karen Holmgaard</t>
  </si>
  <si>
    <t>Sara Holmgaard</t>
  </si>
  <si>
    <t>Steph Houghton</t>
  </si>
  <si>
    <t>Halle Houssein</t>
  </si>
  <si>
    <t>Sophie Howard</t>
  </si>
  <si>
    <t>Carla Humphrey</t>
  </si>
  <si>
    <t>Lina Hurtig</t>
  </si>
  <si>
    <t>Celin Ildhusøy</t>
  </si>
  <si>
    <t>Sophie Ingle</t>
  </si>
  <si>
    <t>Mana Iwabuchi</t>
  </si>
  <si>
    <t>Angharad James</t>
  </si>
  <si>
    <t>Lauren James</t>
  </si>
  <si>
    <t>Rebecca Jane</t>
  </si>
  <si>
    <t>Lulu Jarvis</t>
  </si>
  <si>
    <t>Carrie Jones</t>
  </si>
  <si>
    <t>Nikola Karczewska</t>
  </si>
  <si>
    <t>Khiara Keating</t>
  </si>
  <si>
    <t>Alice Keitley</t>
  </si>
  <si>
    <t>Chloe Kelly</t>
  </si>
  <si>
    <t>Alanna Kennedy</t>
  </si>
  <si>
    <t>Sam Kerr</t>
  </si>
  <si>
    <t>Leanne Kiernan</t>
  </si>
  <si>
    <t>Faye Kirby</t>
  </si>
  <si>
    <t>Fran Kirby</t>
  </si>
  <si>
    <t>Emma Koivisto</t>
  </si>
  <si>
    <t>Tinja-Riikka Korpela</t>
  </si>
  <si>
    <t>Kathrine Kühl</t>
  </si>
  <si>
    <t>Emma Kullberg</t>
  </si>
  <si>
    <t>Thea Kyvåg</t>
  </si>
  <si>
    <t>Hayley Ladd</t>
  </si>
  <si>
    <t>Demi Lambourne</t>
  </si>
  <si>
    <t>Melissa Lawley</t>
  </si>
  <si>
    <t>Rachael Laws</t>
  </si>
  <si>
    <t>Maya Le Tissier</t>
  </si>
  <si>
    <t>Anna Leat</t>
  </si>
  <si>
    <t>Alisha Lehmann</t>
  </si>
  <si>
    <t>Janina Leitzig</t>
  </si>
  <si>
    <t>Adriana Leon</t>
  </si>
  <si>
    <t>Melanie Leupolz</t>
  </si>
  <si>
    <t>Kirstie Levell</t>
  </si>
  <si>
    <t>Kim Little</t>
  </si>
  <si>
    <t>Ruesha Littlejohn</t>
  </si>
  <si>
    <t>Kate Longhurst</t>
  </si>
  <si>
    <t>Vicky Losada</t>
  </si>
  <si>
    <t>Frida Maanum</t>
  </si>
  <si>
    <t>Ruby Mace</t>
  </si>
  <si>
    <t>Sandy MacIver</t>
  </si>
  <si>
    <t>Simone Magill</t>
  </si>
  <si>
    <t>Leonie Maier</t>
  </si>
  <si>
    <t>Aoife Mannion</t>
  </si>
  <si>
    <t>Noelle Maritz</t>
  </si>
  <si>
    <t>Jasmine Matthews</t>
  </si>
  <si>
    <t>Easther Mayi Kith</t>
  </si>
  <si>
    <t>Sarah Mayling</t>
  </si>
  <si>
    <t>Katie McCabe</t>
  </si>
  <si>
    <t>Olivia McLoughlin</t>
  </si>
  <si>
    <t>Abbie McManus</t>
  </si>
  <si>
    <t>Beth Mead</t>
  </si>
  <si>
    <t>Vivianne Miedema</t>
  </si>
  <si>
    <t>Emma Mitchell</t>
  </si>
  <si>
    <t>Maren Mjelde</t>
  </si>
  <si>
    <t>Grace Moloney</t>
  </si>
  <si>
    <t>Jade Moore</t>
  </si>
  <si>
    <t>Esme Morgan</t>
  </si>
  <si>
    <t>Zoe Morse</t>
  </si>
  <si>
    <t>Georgia Mullett</t>
  </si>
  <si>
    <t>Zećira Mušović</t>
  </si>
  <si>
    <t>Lisa Naalsund</t>
  </si>
  <si>
    <t>Fūka Nagano</t>
  </si>
  <si>
    <t>Ashleigh Neville</t>
  </si>
  <si>
    <t>Courtney Nevin</t>
  </si>
  <si>
    <t>Jessica Ngunga</t>
  </si>
  <si>
    <t>Jordan Nobbs</t>
  </si>
  <si>
    <t>Aniek Nouwen</t>
  </si>
  <si>
    <t>Leila Ouahabi</t>
  </si>
  <si>
    <t>Shannon O’Brien</t>
  </si>
  <si>
    <t>Mayumi Pacheco</t>
  </si>
  <si>
    <t>Jessica Park</t>
  </si>
  <si>
    <t>Lucy Parker</t>
  </si>
  <si>
    <t>Nikita Parris</t>
  </si>
  <si>
    <t>Anna Patten</t>
  </si>
  <si>
    <t>Poppy Pattinson</t>
  </si>
  <si>
    <t>Gracie Pearse</t>
  </si>
  <si>
    <t>Sofie Pedersen</t>
  </si>
  <si>
    <t>Victoria Pelova</t>
  </si>
  <si>
    <t>Ria Percival</t>
  </si>
  <si>
    <t>Ève Périsset</t>
  </si>
  <si>
    <t>Madison Perry</t>
  </si>
  <si>
    <t>Ramona Petzelberger</t>
  </si>
  <si>
    <t>FW,DF</t>
  </si>
  <si>
    <t>Molly Pike</t>
  </si>
  <si>
    <t>Ashleigh Plumptre</t>
  </si>
  <si>
    <t>Tia Primmer</t>
  </si>
  <si>
    <t>Jemma Purfield</t>
  </si>
  <si>
    <t>Evie Rabjohn</t>
  </si>
  <si>
    <t>Rafaelle</t>
  </si>
  <si>
    <t>Emily Ramsey</t>
  </si>
  <si>
    <t>Hayley Raso</t>
  </si>
  <si>
    <t>Jess Reavill</t>
  </si>
  <si>
    <t>Guro Reiten</t>
  </si>
  <si>
    <t>Jayde Riviere</t>
  </si>
  <si>
    <t>Leigh-Anne Robe</t>
  </si>
  <si>
    <t>Rhiannon Roberts</t>
  </si>
  <si>
    <t>Katie Robinson</t>
  </si>
  <si>
    <t>Monique Robinson</t>
  </si>
  <si>
    <t>Ellie Roebuck</t>
  </si>
  <si>
    <t>Deanne Rose</t>
  </si>
  <si>
    <t>Rachel Rowe</t>
  </si>
  <si>
    <t>Alessia Russo</t>
  </si>
  <si>
    <t>Johanna Rytting Kaneryd</t>
  </si>
  <si>
    <t>Shanice van de Sanden</t>
  </si>
  <si>
    <t>Veatriki Sarri</t>
  </si>
  <si>
    <t>Connie Scofield</t>
  </si>
  <si>
    <t>Rikke Sevecke</t>
  </si>
  <si>
    <t>Khadija Shaw</t>
  </si>
  <si>
    <t>Risa Shimizu</t>
  </si>
  <si>
    <t>Remy Siemsen</t>
  </si>
  <si>
    <t>Jessica Sigsworth</t>
  </si>
  <si>
    <t>Hannah Silcock</t>
  </si>
  <si>
    <t>Erin Simon</t>
  </si>
  <si>
    <t>Kyah Simon</t>
  </si>
  <si>
    <t>Kirsty Smith</t>
  </si>
  <si>
    <t>Mackenzie Smith</t>
  </si>
  <si>
    <t>Emma Snerle</t>
  </si>
  <si>
    <t>Katja Snoeijs</t>
  </si>
  <si>
    <t>Cho So-hyun</t>
  </si>
  <si>
    <t>Drew Spence</t>
  </si>
  <si>
    <t>Rebecca Spencer</t>
  </si>
  <si>
    <t>Lucy Staniforth</t>
  </si>
  <si>
    <t>Dejana Stefanović</t>
  </si>
  <si>
    <t>Elise Stenevik</t>
  </si>
  <si>
    <t>Katie Stengel</t>
  </si>
  <si>
    <t>Demi Stokes</t>
  </si>
  <si>
    <t>Rebekah Stott</t>
  </si>
  <si>
    <t>Abbey-Leigh Stringer</t>
  </si>
  <si>
    <t>Eveliina Summanen</t>
  </si>
  <si>
    <t>Kateřina Svitková</t>
  </si>
  <si>
    <t>Maisie Symonds</t>
  </si>
  <si>
    <t>Nicoline Sørensen</t>
  </si>
  <si>
    <t>Jodie Taylor</t>
  </si>
  <si>
    <t>Miri Taylor</t>
  </si>
  <si>
    <t>Elisabeth Terland</t>
  </si>
  <si>
    <t>Amalie Thestrup</t>
  </si>
  <si>
    <t>Martha Thomas</t>
  </si>
  <si>
    <t>Maria Thorisdottir</t>
  </si>
  <si>
    <t>Samantha Tierney</t>
  </si>
  <si>
    <t>Ella Toone</t>
  </si>
  <si>
    <t>Aïssatou Tounkara</t>
  </si>
  <si>
    <t>Sanne Troelsgaard Nielsen</t>
  </si>
  <si>
    <t>Amy Turner</t>
  </si>
  <si>
    <t>Danielle Turner</t>
  </si>
  <si>
    <t>Millie Turner</t>
  </si>
  <si>
    <t>Amber Tysiak</t>
  </si>
  <si>
    <t>Chioma Ubogagu</t>
  </si>
  <si>
    <t>Demi Vance</t>
  </si>
  <si>
    <t>Justine Vanhaevermaet</t>
  </si>
  <si>
    <t>Katrine Veje</t>
  </si>
  <si>
    <t>Brianna Visalli</t>
  </si>
  <si>
    <t>Lauren Wade</t>
  </si>
  <si>
    <t>Claudia Walker</t>
  </si>
  <si>
    <t>Megan Walsh</t>
  </si>
  <si>
    <t>Lia Wälti</t>
  </si>
  <si>
    <t>Charlotte Wardlaw</t>
  </si>
  <si>
    <t>Kenzie Weir</t>
  </si>
  <si>
    <t>Charlie Wellings</t>
  </si>
  <si>
    <t>Clare Wheeler</t>
  </si>
  <si>
    <t>Aileen Whelan</t>
  </si>
  <si>
    <t>Laura Wienroither</t>
  </si>
  <si>
    <t>Lydia Williams</t>
  </si>
  <si>
    <t>Rachel Williams</t>
  </si>
  <si>
    <t>Victoria Williams</t>
  </si>
  <si>
    <t>Leah Williamson</t>
  </si>
  <si>
    <t>Lily Woodham</t>
  </si>
  <si>
    <t>Lotte Wubben-Moy</t>
  </si>
  <si>
    <t>Park Yeeun</t>
  </si>
  <si>
    <t>Shelina Zadorsky</t>
  </si>
  <si>
    <t>Katie Zelem</t>
  </si>
  <si>
    <t>Julia Zigiotti Olme</t>
  </si>
  <si>
    <t>Manuela Zinsberger</t>
  </si>
  <si>
    <t>Jessica Ziu</t>
  </si>
  <si>
    <t>2021-2022</t>
  </si>
  <si>
    <t>Angela Addison</t>
  </si>
  <si>
    <t>Jonna Andersson</t>
  </si>
  <si>
    <t>Anna Anvegard</t>
  </si>
  <si>
    <t>Chloe Arthur</t>
  </si>
  <si>
    <t>Anita Asante</t>
  </si>
  <si>
    <t>Rinsola Babajide</t>
  </si>
  <si>
    <t>Paige Bailey-Gayle</t>
  </si>
  <si>
    <t>Sophie Barker</t>
  </si>
  <si>
    <t>Janine Beckie</t>
  </si>
  <si>
    <t>Karima Benameur</t>
  </si>
  <si>
    <t>Elysia Boddy</t>
  </si>
  <si>
    <t>Simone Boye Sørensen</t>
  </si>
  <si>
    <t>Lucy Bronze</t>
  </si>
  <si>
    <t>Signe Bruun</t>
  </si>
  <si>
    <t>Danielle Buet</t>
  </si>
  <si>
    <t>Brooke Cairns</t>
  </si>
  <si>
    <t>Brooke Chaplen</t>
  </si>
  <si>
    <t>Maéva Clemaron</t>
  </si>
  <si>
    <t>Grace Clinton</t>
  </si>
  <si>
    <t>Abbie Cowie</t>
  </si>
  <si>
    <t>Birmingham City</t>
  </si>
  <si>
    <t>Gemma Davison</t>
  </si>
  <si>
    <t>Charlotte Devlin</t>
  </si>
  <si>
    <t>Toni Duggan</t>
  </si>
  <si>
    <t>Claire Emslie</t>
  </si>
  <si>
    <t>Sarah Ewens</t>
  </si>
  <si>
    <t>Marisa Ewers</t>
  </si>
  <si>
    <t>Jamie Finn</t>
  </si>
  <si>
    <t>Ivana Fuso</t>
  </si>
  <si>
    <t>Jeon Ga-eul</t>
  </si>
  <si>
    <t>Grace Garrad</t>
  </si>
  <si>
    <t>Valérie Gauvin</t>
  </si>
  <si>
    <t>Felicity Gibbons</t>
  </si>
  <si>
    <t>Esmee de Graaf</t>
  </si>
  <si>
    <t>Abbi Grant</t>
  </si>
  <si>
    <t>Jackie Groenen</t>
  </si>
  <si>
    <t>Natalie Haigh</t>
  </si>
  <si>
    <t>Martha Harris</t>
  </si>
  <si>
    <t>Sophie Harris</t>
  </si>
  <si>
    <t>Shania Hayles</t>
  </si>
  <si>
    <t>Tobin Heath</t>
  </si>
  <si>
    <t>Alex Hennessy</t>
  </si>
  <si>
    <t>Rebecca Holloway</t>
  </si>
  <si>
    <t>Marie Hourihan</t>
  </si>
  <si>
    <t>Jodie Hutton</t>
  </si>
  <si>
    <t>Tang Jiali</t>
  </si>
  <si>
    <t>Lois Joel</t>
  </si>
  <si>
    <t>Lucy Jones</t>
  </si>
  <si>
    <t>Inessa Kaagman</t>
  </si>
  <si>
    <t>Danique Kerkdijk</t>
  </si>
  <si>
    <t>Isabella Lane</t>
  </si>
  <si>
    <t>Gemma Lawley</t>
  </si>
  <si>
    <t>Esther Morgan</t>
  </si>
  <si>
    <t>Christie Murray</t>
  </si>
  <si>
    <t>Elisha N'Dow</t>
  </si>
  <si>
    <t>Lachante Paul</t>
  </si>
  <si>
    <t>Jade Pennock</t>
  </si>
  <si>
    <t>Chloe Peplow</t>
  </si>
  <si>
    <t>Louise Quinn</t>
  </si>
  <si>
    <t>Lucy Quinn</t>
  </si>
  <si>
    <t>Beth Roberts</t>
  </si>
  <si>
    <t>Lisa Robertson</t>
  </si>
  <si>
    <t>Sian Rogers</t>
  </si>
  <si>
    <t>Eleanor Ryan-Doyle</t>
  </si>
  <si>
    <t>Cecilie Sandvej</t>
  </si>
  <si>
    <t>Meaghan Sargeant</t>
  </si>
  <si>
    <t>Viktoria Schnaderbeck</t>
  </si>
  <si>
    <t>Harriet Scott</t>
  </si>
  <si>
    <t>Jill Scott</t>
  </si>
  <si>
    <t>Emily Simpkins</t>
  </si>
  <si>
    <t>Libby Smith</t>
  </si>
  <si>
    <t>Ji So-yun</t>
  </si>
  <si>
    <t>Georgia Stanway</t>
  </si>
  <si>
    <t>Katie Startup</t>
  </si>
  <si>
    <t>Rhiannon Stewart</t>
  </si>
  <si>
    <t>Arabella Suttie</t>
  </si>
  <si>
    <t>Keira Walsh</t>
  </si>
  <si>
    <t>Caroline Weir</t>
  </si>
  <si>
    <t>Emily Whelan</t>
  </si>
  <si>
    <t>Lucy Whipp</t>
  </si>
  <si>
    <t>Ellen White</t>
  </si>
  <si>
    <t>Louanne Worsley</t>
  </si>
  <si>
    <t>Zaneta Wyne</t>
  </si>
  <si>
    <t>Tameka Yallop</t>
  </si>
  <si>
    <t>2020-2021</t>
  </si>
  <si>
    <t>Flo Allen</t>
  </si>
  <si>
    <t>Bristol City</t>
  </si>
  <si>
    <t>Sophie Baggaley</t>
  </si>
  <si>
    <t>Karen Bardsley</t>
  </si>
  <si>
    <t>Maisey Barker</t>
  </si>
  <si>
    <t>Kirsty Barton</t>
  </si>
  <si>
    <t>Emma Bissell</t>
  </si>
  <si>
    <t>Lauren Bruton</t>
  </si>
  <si>
    <t>Abby Dahlkemper</t>
  </si>
  <si>
    <t>Millie Davies</t>
  </si>
  <si>
    <t>Rianna Dean</t>
  </si>
  <si>
    <t>Daniëlle van de Donk</t>
  </si>
  <si>
    <t>Emily van Egmond</t>
  </si>
  <si>
    <t>Damaris Egurrola</t>
  </si>
  <si>
    <t>Anna Filbey</t>
  </si>
  <si>
    <t>Jess Fishlock</t>
  </si>
  <si>
    <t>Cecilie Fiskerstrand</t>
  </si>
  <si>
    <t>Emma Follis</t>
  </si>
  <si>
    <t>Ella Franklin-Fraiture</t>
  </si>
  <si>
    <t>Hannah Godfrey</t>
  </si>
  <si>
    <t>Ruby Grant</t>
  </si>
  <si>
    <t>Mollie Green</t>
  </si>
  <si>
    <t>Malin Gut</t>
  </si>
  <si>
    <t>Benedicte Håland</t>
  </si>
  <si>
    <t>Nadine Hanssen</t>
  </si>
  <si>
    <t>Abigail Harrison</t>
  </si>
  <si>
    <t>Sophie Haywood</t>
  </si>
  <si>
    <t>Nora Heroum</t>
  </si>
  <si>
    <t>Rianna Jarrett</t>
  </si>
  <si>
    <t>Ellen Jones</t>
  </si>
  <si>
    <t>Wiktoria Kiszkis</t>
  </si>
  <si>
    <t>Cecilie Kvamme</t>
  </si>
  <si>
    <t>Stine Larsen</t>
  </si>
  <si>
    <t>Rose Lavelle</t>
  </si>
  <si>
    <t>Naomi Layzell</t>
  </si>
  <si>
    <t>Kristine Leine</t>
  </si>
  <si>
    <t>Chloe Logarzo</t>
  </si>
  <si>
    <t>Lucía Marte</t>
  </si>
  <si>
    <t>Ella Mastrantonio</t>
  </si>
  <si>
    <t>Chloe McCarron</t>
  </si>
  <si>
    <t>Sam Mewis</t>
  </si>
  <si>
    <t>Aurora Mikalsen</t>
  </si>
  <si>
    <t>Ingrid Moe Wold</t>
  </si>
  <si>
    <t>Alex Morgan</t>
  </si>
  <si>
    <t>Emily Murphy</t>
  </si>
  <si>
    <t>Nor Mustafa</t>
  </si>
  <si>
    <t>Jamie-Lee Napier</t>
  </si>
  <si>
    <t>Denise O'Sullivan</t>
  </si>
  <si>
    <t>Lotta Ökvist</t>
  </si>
  <si>
    <t>Aimee Palmer</t>
  </si>
  <si>
    <t>Christen Press</t>
  </si>
  <si>
    <t>Laura Rafferty</t>
  </si>
  <si>
    <t>Bethan Roe</t>
  </si>
  <si>
    <t>Jill Roord</t>
  </si>
  <si>
    <t>Emma Rose Kelly</t>
  </si>
  <si>
    <t>Jane Ross</t>
  </si>
  <si>
    <t>Ebony Salmon</t>
  </si>
  <si>
    <t>Caroline Siems</t>
  </si>
  <si>
    <t>Diana Silva</t>
  </si>
  <si>
    <t>Kiera Skeels</t>
  </si>
  <si>
    <t>Elish Sulola</t>
  </si>
  <si>
    <t>Emily Syme</t>
  </si>
  <si>
    <t>Carly Telford</t>
  </si>
  <si>
    <t>Destiney Toussaint</t>
  </si>
  <si>
    <t>Laura Vetterlein</t>
  </si>
  <si>
    <t>Lisa Weiß</t>
  </si>
  <si>
    <t>Amy West</t>
  </si>
  <si>
    <t>Fara Williams</t>
  </si>
  <si>
    <t>Georgia Wilson</t>
  </si>
  <si>
    <t>Alicia Window</t>
  </si>
  <si>
    <t>Jessica Wooley</t>
  </si>
  <si>
    <t>Siri Worm</t>
  </si>
  <si>
    <t>2019-2020</t>
  </si>
  <si>
    <t>Lizzie Arnot</t>
  </si>
  <si>
    <t>Ramona Bachmann</t>
  </si>
  <si>
    <t>Jade Bailey</t>
  </si>
  <si>
    <t>Katharina Baunach</t>
  </si>
  <si>
    <t>Sophie Bradley</t>
  </si>
  <si>
    <t>Pauline Bremer</t>
  </si>
  <si>
    <t>Frankie Brown</t>
  </si>
  <si>
    <t>Olivia Chance</t>
  </si>
  <si>
    <t>Jessica Clarke</t>
  </si>
  <si>
    <t>Maisy Collis</t>
  </si>
  <si>
    <t>Vita van der Linden</t>
  </si>
  <si>
    <t>Loren Dykes</t>
  </si>
  <si>
    <t>Adelina Engman</t>
  </si>
  <si>
    <t>Kika van Es</t>
  </si>
  <si>
    <t>Millie Farrow</t>
  </si>
  <si>
    <t>Matilde Fidalgo</t>
  </si>
  <si>
    <t>Jacynta Galabadaarachchi</t>
  </si>
  <si>
    <t>Coral-Jade Haines</t>
  </si>
  <si>
    <t>Ashley Hodson</t>
  </si>
  <si>
    <t>Rakel Hönnudóttir</t>
  </si>
  <si>
    <t>Elise Hughes</t>
  </si>
  <si>
    <t>Adrienne Jordan</t>
  </si>
  <si>
    <t>Lisa-Marie Karlseng Utland</t>
  </si>
  <si>
    <t>Frances Kitching</t>
  </si>
  <si>
    <t>Léa Le Garrec</t>
  </si>
  <si>
    <t>Kirsty Linnett</t>
  </si>
  <si>
    <t>Matilde Lundorf</t>
  </si>
  <si>
    <t>Rebecca May</t>
  </si>
  <si>
    <t>Tessel Middag</t>
  </si>
  <si>
    <t>Anna Moorhouse</t>
  </si>
  <si>
    <t>Kate Natkiel</t>
  </si>
  <si>
    <t>Amanda Nildén</t>
  </si>
  <si>
    <t>Pauline Peyraud-Magnin</t>
  </si>
  <si>
    <t>Jo Potter</t>
  </si>
  <si>
    <t>Anke Preuß</t>
  </si>
  <si>
    <t>Kirsten Reilly</t>
  </si>
  <si>
    <t>Amy Rodgers</t>
  </si>
  <si>
    <t>Jenna Schillaci</t>
  </si>
  <si>
    <t>Julia Simic</t>
  </si>
  <si>
    <t>Lily Simkin</t>
  </si>
  <si>
    <t>Courtney Sweetman-Kirk</t>
  </si>
  <si>
    <t>Tyler Toland</t>
  </si>
  <si>
    <t>Iniabasi Umotong</t>
  </si>
  <si>
    <t>Vencislav Vasilev</t>
  </si>
  <si>
    <t>Filippa Wallén</t>
  </si>
  <si>
    <t>Fern Whelan</t>
  </si>
  <si>
    <t>Tessa Wullaert</t>
  </si>
  <si>
    <t>Megan Wynne</t>
  </si>
  <si>
    <t>Shannon Albuery</t>
  </si>
  <si>
    <t>Yeovil Town</t>
  </si>
  <si>
    <t>2018-2019</t>
  </si>
  <si>
    <t>Megan Alexander</t>
  </si>
  <si>
    <t>Janni Arnth</t>
  </si>
  <si>
    <t>Julie Biesmans</t>
  </si>
  <si>
    <t>Annabel Blanchard</t>
  </si>
  <si>
    <t>Erin Bloomfield</t>
  </si>
  <si>
    <t>Jodie Brett</t>
  </si>
  <si>
    <t>Emma Brownlie</t>
  </si>
  <si>
    <t>Dominique Bruinenberg</t>
  </si>
  <si>
    <t>Leah Burridge</t>
  </si>
  <si>
    <t>Charlotte Buxton</t>
  </si>
  <si>
    <t>Karen Carney</t>
  </si>
  <si>
    <t>Nicola Cousins</t>
  </si>
  <si>
    <t>Emily Donovan</t>
  </si>
  <si>
    <t>Charlie Estcourt</t>
  </si>
  <si>
    <t>Georgia Evans</t>
  </si>
  <si>
    <t>Olivia Fergusson</t>
  </si>
  <si>
    <t>Monique Fischer</t>
  </si>
  <si>
    <t>Amber Gaylor</t>
  </si>
  <si>
    <t>Lucy Gillett</t>
  </si>
  <si>
    <t>Amy Goddard</t>
  </si>
  <si>
    <t>Eleanor Hack</t>
  </si>
  <si>
    <t>Laura Hartley</t>
  </si>
  <si>
    <t>Amelia Hazard</t>
  </si>
  <si>
    <t>Ann-Marie Heatherson</t>
  </si>
  <si>
    <t>Bonnie Horwood</t>
  </si>
  <si>
    <t>Dominique Janssen</t>
  </si>
  <si>
    <t>Simran Jhamat</t>
  </si>
  <si>
    <t>Ali Johnson</t>
  </si>
  <si>
    <t>Tabea Kemme</t>
  </si>
  <si>
    <t>Juliette Kemppi</t>
  </si>
  <si>
    <t>Rosie Kmita</t>
  </si>
  <si>
    <t>Ava Kuyken</t>
  </si>
  <si>
    <t>Jenna Legg</t>
  </si>
  <si>
    <t>Hedvig Lindahl</t>
  </si>
  <si>
    <t>Leandra Little</t>
  </si>
  <si>
    <t>Ellie Mason</t>
  </si>
  <si>
    <t>Rachel McLauchlan</t>
  </si>
  <si>
    <t>Satara Murray</t>
  </si>
  <si>
    <t>Nadia Nadim</t>
  </si>
  <si>
    <t>Heather Payne</t>
  </si>
  <si>
    <t>Kirsty Pearce</t>
  </si>
  <si>
    <t>Sophie Perry</t>
  </si>
  <si>
    <t>Liberty Piggott</t>
  </si>
  <si>
    <t>Claire Rafferty</t>
  </si>
  <si>
    <t>Lucienne Reichardt</t>
  </si>
  <si>
    <t>Ali Riley</t>
  </si>
  <si>
    <t>Katie Rood</t>
  </si>
  <si>
    <t>Ella Rutherford</t>
  </si>
  <si>
    <t>Vyan Sampson</t>
  </si>
  <si>
    <t>Jessica Samuelsson</t>
  </si>
  <si>
    <t>Hannah Short</t>
  </si>
  <si>
    <t>Charlie Taylor</t>
  </si>
  <si>
    <t>Lauren Thomas</t>
  </si>
  <si>
    <t>Sari van Veenendaal</t>
  </si>
  <si>
    <t>Paige Williams</t>
  </si>
  <si>
    <t>Poppy Wilson</t>
  </si>
  <si>
    <t>Goals Per 90 Minutes</t>
  </si>
  <si>
    <t>eng</t>
  </si>
  <si>
    <t>ENG</t>
  </si>
  <si>
    <t>ca</t>
  </si>
  <si>
    <t>CAN</t>
  </si>
  <si>
    <t>fr</t>
  </si>
  <si>
    <t>FRA</t>
  </si>
  <si>
    <t>au</t>
  </si>
  <si>
    <t>AUS</t>
  </si>
  <si>
    <t>ch</t>
  </si>
  <si>
    <t>SUI</t>
  </si>
  <si>
    <t>ru</t>
  </si>
  <si>
    <t>RUS</t>
  </si>
  <si>
    <t>no</t>
  </si>
  <si>
    <t>NOR</t>
  </si>
  <si>
    <t>dk</t>
  </si>
  <si>
    <t>DEN</t>
  </si>
  <si>
    <t>be</t>
  </si>
  <si>
    <t>BEL</t>
  </si>
  <si>
    <t>wls</t>
  </si>
  <si>
    <t>WAL</t>
  </si>
  <si>
    <t>nl</t>
  </si>
  <si>
    <t>NED</t>
  </si>
  <si>
    <t>nz</t>
  </si>
  <si>
    <t>NZL</t>
  </si>
  <si>
    <t>de</t>
  </si>
  <si>
    <t>GER</t>
  </si>
  <si>
    <t>ie</t>
  </si>
  <si>
    <t>IRL</t>
  </si>
  <si>
    <t>ng</t>
  </si>
  <si>
    <t>NGA</t>
  </si>
  <si>
    <t>it</t>
  </si>
  <si>
    <t>ITA</t>
  </si>
  <si>
    <t>us</t>
  </si>
  <si>
    <t>USA</t>
  </si>
  <si>
    <t>kr</t>
  </si>
  <si>
    <t>KOR</t>
  </si>
  <si>
    <t>is</t>
  </si>
  <si>
    <t>ISL</t>
  </si>
  <si>
    <t>rs</t>
  </si>
  <si>
    <t>SRB</t>
  </si>
  <si>
    <t>nir</t>
  </si>
  <si>
    <t>NIR</t>
  </si>
  <si>
    <t>ve</t>
  </si>
  <si>
    <t>VEN</t>
  </si>
  <si>
    <t>jm</t>
  </si>
  <si>
    <t>JAM</t>
  </si>
  <si>
    <t>sct</t>
  </si>
  <si>
    <t>SCO</t>
  </si>
  <si>
    <t>cm</t>
  </si>
  <si>
    <t>CMR</t>
  </si>
  <si>
    <t>fi</t>
  </si>
  <si>
    <t>FIN</t>
  </si>
  <si>
    <t>se</t>
  </si>
  <si>
    <t>SWE</t>
  </si>
  <si>
    <t>jp</t>
  </si>
  <si>
    <t>JPN</t>
  </si>
  <si>
    <t>br</t>
  </si>
  <si>
    <t>BRA</t>
  </si>
  <si>
    <t>cz</t>
  </si>
  <si>
    <t>CZE</t>
  </si>
  <si>
    <t>es</t>
  </si>
  <si>
    <t>ESP</t>
  </si>
  <si>
    <t>at</t>
  </si>
  <si>
    <t>AUT</t>
  </si>
  <si>
    <t>pl</t>
  </si>
  <si>
    <t>POL</t>
  </si>
  <si>
    <t>ma</t>
  </si>
  <si>
    <t>MAR</t>
  </si>
  <si>
    <t>gr</t>
  </si>
  <si>
    <t>GRE</t>
  </si>
  <si>
    <t>cn</t>
  </si>
  <si>
    <t>CHN</t>
  </si>
  <si>
    <t>pt</t>
  </si>
  <si>
    <t>POR</t>
  </si>
  <si>
    <t>do</t>
  </si>
  <si>
    <t>DOM</t>
  </si>
  <si>
    <t>ws</t>
  </si>
  <si>
    <t>SAM</t>
  </si>
  <si>
    <t>Country</t>
  </si>
  <si>
    <t>Row Labels</t>
  </si>
  <si>
    <t>Grand Total</t>
  </si>
  <si>
    <t>Sum of Goals</t>
  </si>
  <si>
    <t>Sum of Assists</t>
  </si>
  <si>
    <t>Sum of Yellow</t>
  </si>
  <si>
    <t>Sum of 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</si>
</sst>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6">
    <dxf>
      <fill>
        <patternFill>
          <bgColor rgb="FF00B0F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00B0F0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B4C7D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E8F2A1"/>
      <rgbColor rgb="FF99CCFF"/>
      <rgbColor rgb="FFFF99CC"/>
      <rgbColor rgb="FFCC99FF"/>
      <rgbColor rgb="FFFFD7D7"/>
      <rgbColor rgb="FF3366FF"/>
      <rgbColor rgb="FF33CCCC"/>
      <rgbColor rgb="FF99CC00"/>
      <rgbColor rgb="FFFFCC00"/>
      <rgbColor rgb="FFFF9900"/>
      <rgbColor rgb="FFFF6600"/>
      <rgbColor rgb="FF666699"/>
      <rgbColor rgb="FFBF819E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wtf!$AR$1</c:f>
              <c:strCache>
                <c:ptCount val="1"/>
                <c:pt idx="0">
                  <c:v>Team’s Points for Season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wtf!$AR$2:$AR$330</c:f>
              <c:numCache>
                <c:formatCode>General</c:formatCode>
                <c:ptCount val="329"/>
                <c:pt idx="0">
                  <c:v>21</c:v>
                </c:pt>
                <c:pt idx="1">
                  <c:v>16</c:v>
                </c:pt>
                <c:pt idx="2">
                  <c:v>30</c:v>
                </c:pt>
                <c:pt idx="3">
                  <c:v>56</c:v>
                </c:pt>
                <c:pt idx="4">
                  <c:v>30</c:v>
                </c:pt>
                <c:pt idx="5">
                  <c:v>30</c:v>
                </c:pt>
                <c:pt idx="6">
                  <c:v>16</c:v>
                </c:pt>
                <c:pt idx="7">
                  <c:v>58</c:v>
                </c:pt>
                <c:pt idx="8">
                  <c:v>56</c:v>
                </c:pt>
                <c:pt idx="9">
                  <c:v>47</c:v>
                </c:pt>
                <c:pt idx="10">
                  <c:v>56</c:v>
                </c:pt>
                <c:pt idx="11">
                  <c:v>47</c:v>
                </c:pt>
                <c:pt idx="12">
                  <c:v>37</c:v>
                </c:pt>
                <c:pt idx="13">
                  <c:v>37</c:v>
                </c:pt>
                <c:pt idx="14">
                  <c:v>58</c:v>
                </c:pt>
                <c:pt idx="15">
                  <c:v>11</c:v>
                </c:pt>
                <c:pt idx="16">
                  <c:v>21</c:v>
                </c:pt>
                <c:pt idx="17">
                  <c:v>21</c:v>
                </c:pt>
                <c:pt idx="18">
                  <c:v>18</c:v>
                </c:pt>
                <c:pt idx="19">
                  <c:v>18</c:v>
                </c:pt>
                <c:pt idx="20">
                  <c:v>58</c:v>
                </c:pt>
                <c:pt idx="21">
                  <c:v>37</c:v>
                </c:pt>
                <c:pt idx="22">
                  <c:v>37</c:v>
                </c:pt>
                <c:pt idx="23">
                  <c:v>58</c:v>
                </c:pt>
                <c:pt idx="24">
                  <c:v>58</c:v>
                </c:pt>
                <c:pt idx="25">
                  <c:v>21</c:v>
                </c:pt>
                <c:pt idx="26">
                  <c:v>56</c:v>
                </c:pt>
                <c:pt idx="27">
                  <c:v>18</c:v>
                </c:pt>
                <c:pt idx="28">
                  <c:v>16</c:v>
                </c:pt>
                <c:pt idx="29">
                  <c:v>18</c:v>
                </c:pt>
                <c:pt idx="30">
                  <c:v>30</c:v>
                </c:pt>
                <c:pt idx="31">
                  <c:v>16</c:v>
                </c:pt>
                <c:pt idx="32">
                  <c:v>16</c:v>
                </c:pt>
                <c:pt idx="33">
                  <c:v>47</c:v>
                </c:pt>
                <c:pt idx="34">
                  <c:v>58</c:v>
                </c:pt>
                <c:pt idx="35">
                  <c:v>18</c:v>
                </c:pt>
                <c:pt idx="36">
                  <c:v>16</c:v>
                </c:pt>
                <c:pt idx="37">
                  <c:v>11</c:v>
                </c:pt>
                <c:pt idx="38">
                  <c:v>47</c:v>
                </c:pt>
                <c:pt idx="39">
                  <c:v>23</c:v>
                </c:pt>
                <c:pt idx="40">
                  <c:v>16</c:v>
                </c:pt>
                <c:pt idx="41">
                  <c:v>18</c:v>
                </c:pt>
                <c:pt idx="42">
                  <c:v>23</c:v>
                </c:pt>
                <c:pt idx="43">
                  <c:v>37</c:v>
                </c:pt>
                <c:pt idx="44">
                  <c:v>37</c:v>
                </c:pt>
                <c:pt idx="45">
                  <c:v>11</c:v>
                </c:pt>
                <c:pt idx="46">
                  <c:v>23</c:v>
                </c:pt>
                <c:pt idx="47">
                  <c:v>16</c:v>
                </c:pt>
                <c:pt idx="48">
                  <c:v>18</c:v>
                </c:pt>
                <c:pt idx="49">
                  <c:v>47</c:v>
                </c:pt>
                <c:pt idx="50">
                  <c:v>18</c:v>
                </c:pt>
                <c:pt idx="51">
                  <c:v>16</c:v>
                </c:pt>
                <c:pt idx="52">
                  <c:v>16</c:v>
                </c:pt>
                <c:pt idx="53">
                  <c:v>30</c:v>
                </c:pt>
                <c:pt idx="54">
                  <c:v>21</c:v>
                </c:pt>
                <c:pt idx="55">
                  <c:v>16</c:v>
                </c:pt>
                <c:pt idx="56">
                  <c:v>30</c:v>
                </c:pt>
                <c:pt idx="57">
                  <c:v>16</c:v>
                </c:pt>
                <c:pt idx="58">
                  <c:v>21</c:v>
                </c:pt>
                <c:pt idx="59">
                  <c:v>16</c:v>
                </c:pt>
                <c:pt idx="60">
                  <c:v>37</c:v>
                </c:pt>
                <c:pt idx="61">
                  <c:v>11</c:v>
                </c:pt>
                <c:pt idx="62">
                  <c:v>11</c:v>
                </c:pt>
                <c:pt idx="63">
                  <c:v>16</c:v>
                </c:pt>
                <c:pt idx="64">
                  <c:v>16</c:v>
                </c:pt>
                <c:pt idx="65">
                  <c:v>47</c:v>
                </c:pt>
                <c:pt idx="66">
                  <c:v>16</c:v>
                </c:pt>
                <c:pt idx="67">
                  <c:v>47</c:v>
                </c:pt>
                <c:pt idx="68">
                  <c:v>11</c:v>
                </c:pt>
                <c:pt idx="69">
                  <c:v>18</c:v>
                </c:pt>
                <c:pt idx="70">
                  <c:v>23</c:v>
                </c:pt>
                <c:pt idx="71">
                  <c:v>11</c:v>
                </c:pt>
                <c:pt idx="72">
                  <c:v>16</c:v>
                </c:pt>
                <c:pt idx="73">
                  <c:v>30</c:v>
                </c:pt>
                <c:pt idx="74">
                  <c:v>56</c:v>
                </c:pt>
                <c:pt idx="75">
                  <c:v>18</c:v>
                </c:pt>
                <c:pt idx="76">
                  <c:v>18</c:v>
                </c:pt>
                <c:pt idx="77">
                  <c:v>47</c:v>
                </c:pt>
                <c:pt idx="78">
                  <c:v>37</c:v>
                </c:pt>
                <c:pt idx="79">
                  <c:v>30</c:v>
                </c:pt>
                <c:pt idx="80">
                  <c:v>11</c:v>
                </c:pt>
                <c:pt idx="81">
                  <c:v>23</c:v>
                </c:pt>
                <c:pt idx="82">
                  <c:v>16</c:v>
                </c:pt>
                <c:pt idx="83">
                  <c:v>11</c:v>
                </c:pt>
                <c:pt idx="84">
                  <c:v>21</c:v>
                </c:pt>
                <c:pt idx="85">
                  <c:v>58</c:v>
                </c:pt>
                <c:pt idx="86">
                  <c:v>16</c:v>
                </c:pt>
                <c:pt idx="87">
                  <c:v>47</c:v>
                </c:pt>
                <c:pt idx="88">
                  <c:v>56</c:v>
                </c:pt>
                <c:pt idx="89">
                  <c:v>58</c:v>
                </c:pt>
                <c:pt idx="90">
                  <c:v>18</c:v>
                </c:pt>
                <c:pt idx="91">
                  <c:v>37</c:v>
                </c:pt>
                <c:pt idx="92">
                  <c:v>11</c:v>
                </c:pt>
                <c:pt idx="93">
                  <c:v>23</c:v>
                </c:pt>
                <c:pt idx="94">
                  <c:v>47</c:v>
                </c:pt>
                <c:pt idx="95">
                  <c:v>58</c:v>
                </c:pt>
                <c:pt idx="96">
                  <c:v>47</c:v>
                </c:pt>
                <c:pt idx="97">
                  <c:v>37</c:v>
                </c:pt>
                <c:pt idx="98">
                  <c:v>47</c:v>
                </c:pt>
                <c:pt idx="99">
                  <c:v>23</c:v>
                </c:pt>
                <c:pt idx="100">
                  <c:v>30</c:v>
                </c:pt>
                <c:pt idx="101">
                  <c:v>23</c:v>
                </c:pt>
                <c:pt idx="102">
                  <c:v>23</c:v>
                </c:pt>
                <c:pt idx="103">
                  <c:v>11</c:v>
                </c:pt>
                <c:pt idx="104">
                  <c:v>16</c:v>
                </c:pt>
                <c:pt idx="105">
                  <c:v>16</c:v>
                </c:pt>
                <c:pt idx="106">
                  <c:v>37</c:v>
                </c:pt>
                <c:pt idx="107">
                  <c:v>23</c:v>
                </c:pt>
                <c:pt idx="108">
                  <c:v>47</c:v>
                </c:pt>
                <c:pt idx="109">
                  <c:v>30</c:v>
                </c:pt>
                <c:pt idx="110">
                  <c:v>21</c:v>
                </c:pt>
                <c:pt idx="111">
                  <c:v>11</c:v>
                </c:pt>
                <c:pt idx="112">
                  <c:v>18</c:v>
                </c:pt>
                <c:pt idx="113">
                  <c:v>16</c:v>
                </c:pt>
                <c:pt idx="114">
                  <c:v>16</c:v>
                </c:pt>
                <c:pt idx="115">
                  <c:v>58</c:v>
                </c:pt>
                <c:pt idx="116">
                  <c:v>21</c:v>
                </c:pt>
                <c:pt idx="117">
                  <c:v>30</c:v>
                </c:pt>
                <c:pt idx="118">
                  <c:v>30</c:v>
                </c:pt>
                <c:pt idx="119">
                  <c:v>56</c:v>
                </c:pt>
                <c:pt idx="120">
                  <c:v>56</c:v>
                </c:pt>
                <c:pt idx="121">
                  <c:v>16</c:v>
                </c:pt>
                <c:pt idx="122">
                  <c:v>37</c:v>
                </c:pt>
                <c:pt idx="123">
                  <c:v>23</c:v>
                </c:pt>
                <c:pt idx="124">
                  <c:v>21</c:v>
                </c:pt>
                <c:pt idx="125">
                  <c:v>56</c:v>
                </c:pt>
                <c:pt idx="126">
                  <c:v>47</c:v>
                </c:pt>
                <c:pt idx="127">
                  <c:v>21</c:v>
                </c:pt>
                <c:pt idx="128">
                  <c:v>37</c:v>
                </c:pt>
                <c:pt idx="129">
                  <c:v>21</c:v>
                </c:pt>
                <c:pt idx="130">
                  <c:v>21</c:v>
                </c:pt>
                <c:pt idx="131">
                  <c:v>30</c:v>
                </c:pt>
                <c:pt idx="132">
                  <c:v>11</c:v>
                </c:pt>
                <c:pt idx="133">
                  <c:v>56</c:v>
                </c:pt>
                <c:pt idx="134">
                  <c:v>11</c:v>
                </c:pt>
                <c:pt idx="135">
                  <c:v>16</c:v>
                </c:pt>
                <c:pt idx="136">
                  <c:v>23</c:v>
                </c:pt>
                <c:pt idx="137">
                  <c:v>56</c:v>
                </c:pt>
                <c:pt idx="138">
                  <c:v>58</c:v>
                </c:pt>
                <c:pt idx="139">
                  <c:v>47</c:v>
                </c:pt>
                <c:pt idx="140">
                  <c:v>16</c:v>
                </c:pt>
                <c:pt idx="141">
                  <c:v>47</c:v>
                </c:pt>
                <c:pt idx="142">
                  <c:v>47</c:v>
                </c:pt>
                <c:pt idx="143">
                  <c:v>58</c:v>
                </c:pt>
                <c:pt idx="144">
                  <c:v>16</c:v>
                </c:pt>
                <c:pt idx="145">
                  <c:v>18</c:v>
                </c:pt>
                <c:pt idx="146">
                  <c:v>30</c:v>
                </c:pt>
                <c:pt idx="147">
                  <c:v>16</c:v>
                </c:pt>
                <c:pt idx="148">
                  <c:v>21</c:v>
                </c:pt>
                <c:pt idx="149">
                  <c:v>58</c:v>
                </c:pt>
                <c:pt idx="150">
                  <c:v>47</c:v>
                </c:pt>
                <c:pt idx="151">
                  <c:v>58</c:v>
                </c:pt>
                <c:pt idx="152">
                  <c:v>47</c:v>
                </c:pt>
                <c:pt idx="153">
                  <c:v>37</c:v>
                </c:pt>
                <c:pt idx="154">
                  <c:v>16</c:v>
                </c:pt>
                <c:pt idx="155">
                  <c:v>16</c:v>
                </c:pt>
                <c:pt idx="156">
                  <c:v>16</c:v>
                </c:pt>
                <c:pt idx="157">
                  <c:v>47</c:v>
                </c:pt>
                <c:pt idx="158">
                  <c:v>47</c:v>
                </c:pt>
                <c:pt idx="159">
                  <c:v>11</c:v>
                </c:pt>
                <c:pt idx="160">
                  <c:v>58</c:v>
                </c:pt>
                <c:pt idx="161">
                  <c:v>30</c:v>
                </c:pt>
                <c:pt idx="162">
                  <c:v>21</c:v>
                </c:pt>
                <c:pt idx="163">
                  <c:v>58</c:v>
                </c:pt>
                <c:pt idx="164">
                  <c:v>47</c:v>
                </c:pt>
                <c:pt idx="165">
                  <c:v>47</c:v>
                </c:pt>
                <c:pt idx="166">
                  <c:v>16</c:v>
                </c:pt>
                <c:pt idx="167">
                  <c:v>23</c:v>
                </c:pt>
                <c:pt idx="168">
                  <c:v>56</c:v>
                </c:pt>
                <c:pt idx="169">
                  <c:v>30</c:v>
                </c:pt>
                <c:pt idx="170">
                  <c:v>30</c:v>
                </c:pt>
                <c:pt idx="171">
                  <c:v>16</c:v>
                </c:pt>
                <c:pt idx="172">
                  <c:v>21</c:v>
                </c:pt>
                <c:pt idx="173">
                  <c:v>37</c:v>
                </c:pt>
                <c:pt idx="174">
                  <c:v>30</c:v>
                </c:pt>
                <c:pt idx="175">
                  <c:v>47</c:v>
                </c:pt>
                <c:pt idx="176">
                  <c:v>18</c:v>
                </c:pt>
                <c:pt idx="177">
                  <c:v>47</c:v>
                </c:pt>
                <c:pt idx="178">
                  <c:v>47</c:v>
                </c:pt>
                <c:pt idx="179">
                  <c:v>47</c:v>
                </c:pt>
                <c:pt idx="180">
                  <c:v>16</c:v>
                </c:pt>
                <c:pt idx="181">
                  <c:v>37</c:v>
                </c:pt>
                <c:pt idx="182">
                  <c:v>21</c:v>
                </c:pt>
                <c:pt idx="183">
                  <c:v>18</c:v>
                </c:pt>
                <c:pt idx="184">
                  <c:v>18</c:v>
                </c:pt>
                <c:pt idx="185">
                  <c:v>47</c:v>
                </c:pt>
                <c:pt idx="186">
                  <c:v>37</c:v>
                </c:pt>
                <c:pt idx="187">
                  <c:v>37</c:v>
                </c:pt>
                <c:pt idx="188">
                  <c:v>47</c:v>
                </c:pt>
                <c:pt idx="189">
                  <c:v>47</c:v>
                </c:pt>
                <c:pt idx="190">
                  <c:v>47</c:v>
                </c:pt>
                <c:pt idx="191">
                  <c:v>58</c:v>
                </c:pt>
                <c:pt idx="192">
                  <c:v>11</c:v>
                </c:pt>
                <c:pt idx="193">
                  <c:v>56</c:v>
                </c:pt>
                <c:pt idx="194">
                  <c:v>47</c:v>
                </c:pt>
                <c:pt idx="195">
                  <c:v>23</c:v>
                </c:pt>
                <c:pt idx="196">
                  <c:v>16</c:v>
                </c:pt>
                <c:pt idx="197">
                  <c:v>23</c:v>
                </c:pt>
                <c:pt idx="198">
                  <c:v>47</c:v>
                </c:pt>
                <c:pt idx="199">
                  <c:v>18</c:v>
                </c:pt>
                <c:pt idx="200">
                  <c:v>30</c:v>
                </c:pt>
                <c:pt idx="201">
                  <c:v>47</c:v>
                </c:pt>
                <c:pt idx="202">
                  <c:v>16</c:v>
                </c:pt>
                <c:pt idx="203">
                  <c:v>16</c:v>
                </c:pt>
                <c:pt idx="204">
                  <c:v>11</c:v>
                </c:pt>
                <c:pt idx="205">
                  <c:v>47</c:v>
                </c:pt>
                <c:pt idx="206">
                  <c:v>21</c:v>
                </c:pt>
                <c:pt idx="207">
                  <c:v>56</c:v>
                </c:pt>
                <c:pt idx="208">
                  <c:v>47</c:v>
                </c:pt>
                <c:pt idx="209">
                  <c:v>56</c:v>
                </c:pt>
                <c:pt idx="210">
                  <c:v>30</c:v>
                </c:pt>
                <c:pt idx="211">
                  <c:v>21</c:v>
                </c:pt>
                <c:pt idx="212">
                  <c:v>56</c:v>
                </c:pt>
                <c:pt idx="213">
                  <c:v>37</c:v>
                </c:pt>
                <c:pt idx="214">
                  <c:v>16</c:v>
                </c:pt>
                <c:pt idx="215">
                  <c:v>16</c:v>
                </c:pt>
                <c:pt idx="216">
                  <c:v>21</c:v>
                </c:pt>
                <c:pt idx="217">
                  <c:v>21</c:v>
                </c:pt>
                <c:pt idx="218">
                  <c:v>16</c:v>
                </c:pt>
                <c:pt idx="219">
                  <c:v>11</c:v>
                </c:pt>
                <c:pt idx="220">
                  <c:v>58</c:v>
                </c:pt>
                <c:pt idx="221">
                  <c:v>16</c:v>
                </c:pt>
                <c:pt idx="222">
                  <c:v>47</c:v>
                </c:pt>
                <c:pt idx="223">
                  <c:v>18</c:v>
                </c:pt>
                <c:pt idx="224">
                  <c:v>47</c:v>
                </c:pt>
                <c:pt idx="225">
                  <c:v>58</c:v>
                </c:pt>
                <c:pt idx="226">
                  <c:v>56</c:v>
                </c:pt>
                <c:pt idx="227">
                  <c:v>56</c:v>
                </c:pt>
                <c:pt idx="228">
                  <c:v>56</c:v>
                </c:pt>
                <c:pt idx="229">
                  <c:v>47</c:v>
                </c:pt>
                <c:pt idx="230">
                  <c:v>56</c:v>
                </c:pt>
                <c:pt idx="231">
                  <c:v>37</c:v>
                </c:pt>
                <c:pt idx="232">
                  <c:v>23</c:v>
                </c:pt>
                <c:pt idx="233">
                  <c:v>16</c:v>
                </c:pt>
                <c:pt idx="234">
                  <c:v>30</c:v>
                </c:pt>
                <c:pt idx="235">
                  <c:v>16</c:v>
                </c:pt>
                <c:pt idx="236">
                  <c:v>58</c:v>
                </c:pt>
                <c:pt idx="237">
                  <c:v>21</c:v>
                </c:pt>
                <c:pt idx="238">
                  <c:v>23</c:v>
                </c:pt>
                <c:pt idx="239">
                  <c:v>47</c:v>
                </c:pt>
                <c:pt idx="240">
                  <c:v>58</c:v>
                </c:pt>
                <c:pt idx="241">
                  <c:v>56</c:v>
                </c:pt>
                <c:pt idx="242">
                  <c:v>23</c:v>
                </c:pt>
                <c:pt idx="243">
                  <c:v>23</c:v>
                </c:pt>
                <c:pt idx="244">
                  <c:v>23</c:v>
                </c:pt>
                <c:pt idx="245">
                  <c:v>16</c:v>
                </c:pt>
                <c:pt idx="246">
                  <c:v>18</c:v>
                </c:pt>
                <c:pt idx="247">
                  <c:v>18</c:v>
                </c:pt>
                <c:pt idx="248">
                  <c:v>16</c:v>
                </c:pt>
                <c:pt idx="249">
                  <c:v>16</c:v>
                </c:pt>
                <c:pt idx="250">
                  <c:v>23</c:v>
                </c:pt>
                <c:pt idx="251">
                  <c:v>11</c:v>
                </c:pt>
                <c:pt idx="252">
                  <c:v>16</c:v>
                </c:pt>
                <c:pt idx="253">
                  <c:v>37</c:v>
                </c:pt>
                <c:pt idx="254">
                  <c:v>30</c:v>
                </c:pt>
                <c:pt idx="255">
                  <c:v>30</c:v>
                </c:pt>
                <c:pt idx="256">
                  <c:v>58</c:v>
                </c:pt>
                <c:pt idx="257">
                  <c:v>23</c:v>
                </c:pt>
                <c:pt idx="258">
                  <c:v>30</c:v>
                </c:pt>
                <c:pt idx="259">
                  <c:v>56</c:v>
                </c:pt>
                <c:pt idx="260">
                  <c:v>18</c:v>
                </c:pt>
                <c:pt idx="261">
                  <c:v>47</c:v>
                </c:pt>
                <c:pt idx="262">
                  <c:v>37</c:v>
                </c:pt>
                <c:pt idx="263">
                  <c:v>56</c:v>
                </c:pt>
                <c:pt idx="264">
                  <c:v>56</c:v>
                </c:pt>
                <c:pt idx="265">
                  <c:v>16</c:v>
                </c:pt>
                <c:pt idx="266">
                  <c:v>58</c:v>
                </c:pt>
                <c:pt idx="267">
                  <c:v>16</c:v>
                </c:pt>
                <c:pt idx="268">
                  <c:v>21</c:v>
                </c:pt>
                <c:pt idx="269">
                  <c:v>23</c:v>
                </c:pt>
                <c:pt idx="270">
                  <c:v>37</c:v>
                </c:pt>
                <c:pt idx="271">
                  <c:v>37</c:v>
                </c:pt>
                <c:pt idx="272">
                  <c:v>23</c:v>
                </c:pt>
                <c:pt idx="273">
                  <c:v>11</c:v>
                </c:pt>
                <c:pt idx="274">
                  <c:v>56</c:v>
                </c:pt>
                <c:pt idx="275">
                  <c:v>47</c:v>
                </c:pt>
                <c:pt idx="276">
                  <c:v>18</c:v>
                </c:pt>
                <c:pt idx="277">
                  <c:v>11</c:v>
                </c:pt>
                <c:pt idx="278">
                  <c:v>18</c:v>
                </c:pt>
                <c:pt idx="279">
                  <c:v>16</c:v>
                </c:pt>
                <c:pt idx="280">
                  <c:v>37</c:v>
                </c:pt>
                <c:pt idx="281">
                  <c:v>16</c:v>
                </c:pt>
                <c:pt idx="282">
                  <c:v>23</c:v>
                </c:pt>
                <c:pt idx="283">
                  <c:v>18</c:v>
                </c:pt>
                <c:pt idx="284">
                  <c:v>30</c:v>
                </c:pt>
                <c:pt idx="285">
                  <c:v>21</c:v>
                </c:pt>
                <c:pt idx="286">
                  <c:v>18</c:v>
                </c:pt>
                <c:pt idx="287">
                  <c:v>18</c:v>
                </c:pt>
                <c:pt idx="288">
                  <c:v>16</c:v>
                </c:pt>
                <c:pt idx="289">
                  <c:v>47</c:v>
                </c:pt>
                <c:pt idx="290">
                  <c:v>37</c:v>
                </c:pt>
                <c:pt idx="291">
                  <c:v>47</c:v>
                </c:pt>
                <c:pt idx="292">
                  <c:v>58</c:v>
                </c:pt>
                <c:pt idx="293">
                  <c:v>16</c:v>
                </c:pt>
                <c:pt idx="294">
                  <c:v>47</c:v>
                </c:pt>
                <c:pt idx="295">
                  <c:v>11</c:v>
                </c:pt>
                <c:pt idx="296">
                  <c:v>30</c:v>
                </c:pt>
                <c:pt idx="297">
                  <c:v>37</c:v>
                </c:pt>
                <c:pt idx="298">
                  <c:v>23</c:v>
                </c:pt>
                <c:pt idx="299">
                  <c:v>21</c:v>
                </c:pt>
                <c:pt idx="300">
                  <c:v>16</c:v>
                </c:pt>
                <c:pt idx="301">
                  <c:v>18</c:v>
                </c:pt>
                <c:pt idx="302">
                  <c:v>37</c:v>
                </c:pt>
                <c:pt idx="303">
                  <c:v>23</c:v>
                </c:pt>
                <c:pt idx="304">
                  <c:v>21</c:v>
                </c:pt>
                <c:pt idx="305">
                  <c:v>16</c:v>
                </c:pt>
                <c:pt idx="306">
                  <c:v>58</c:v>
                </c:pt>
                <c:pt idx="307">
                  <c:v>47</c:v>
                </c:pt>
                <c:pt idx="308">
                  <c:v>47</c:v>
                </c:pt>
                <c:pt idx="309">
                  <c:v>47</c:v>
                </c:pt>
                <c:pt idx="310">
                  <c:v>47</c:v>
                </c:pt>
                <c:pt idx="311">
                  <c:v>23</c:v>
                </c:pt>
                <c:pt idx="312">
                  <c:v>47</c:v>
                </c:pt>
                <c:pt idx="313">
                  <c:v>21</c:v>
                </c:pt>
                <c:pt idx="314">
                  <c:v>11</c:v>
                </c:pt>
                <c:pt idx="315">
                  <c:v>11</c:v>
                </c:pt>
                <c:pt idx="316">
                  <c:v>18</c:v>
                </c:pt>
                <c:pt idx="317">
                  <c:v>16</c:v>
                </c:pt>
                <c:pt idx="318">
                  <c:v>47</c:v>
                </c:pt>
                <c:pt idx="319">
                  <c:v>47</c:v>
                </c:pt>
                <c:pt idx="320">
                  <c:v>16</c:v>
                </c:pt>
                <c:pt idx="321">
                  <c:v>56</c:v>
                </c:pt>
                <c:pt idx="322">
                  <c:v>21</c:v>
                </c:pt>
                <c:pt idx="323">
                  <c:v>21</c:v>
                </c:pt>
                <c:pt idx="324">
                  <c:v>47</c:v>
                </c:pt>
                <c:pt idx="325">
                  <c:v>23</c:v>
                </c:pt>
                <c:pt idx="326">
                  <c:v>47</c:v>
                </c:pt>
                <c:pt idx="327">
                  <c:v>58</c:v>
                </c:pt>
                <c:pt idx="328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8C-43C6-AE89-A529E8D8BD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14575152"/>
        <c:axId val="1864330928"/>
      </c:barChart>
      <c:catAx>
        <c:axId val="61457515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4330928"/>
        <c:crosses val="autoZero"/>
        <c:auto val="1"/>
        <c:lblAlgn val="ctr"/>
        <c:lblOffset val="100"/>
        <c:noMultiLvlLbl val="0"/>
      </c:catAx>
      <c:valAx>
        <c:axId val="18643309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45751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>
      <cx:tx>
        <cx:txData>
          <cx:v>Total Yellow Cards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Total Yellow Cards</a:t>
          </a:r>
        </a:p>
      </cx:txPr>
    </cx:title>
    <cx:plotArea>
      <cx:plotAreaRegion>
        <cx:series layoutId="clusteredColumn" uniqueId="{FC1E8698-7BF1-4165-BBCC-DEA995BA8705}">
          <cx:tx>
            <cx:txData>
              <cx:f>_xlchart.v1.0</cx:f>
              <cx:v>Yellow</cx:v>
            </cx:txData>
          </cx:tx>
          <cx:dataId val="0"/>
          <cx:layoutPr>
            <cx:binning intervalClosed="r">
              <cx:binSize val="0.90000000000000002"/>
            </cx:binning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0</xdr:colOff>
      <xdr:row>4</xdr:row>
      <xdr:rowOff>0</xdr:rowOff>
    </xdr:from>
    <xdr:to>
      <xdr:col>28</xdr:col>
      <xdr:colOff>0</xdr:colOff>
      <xdr:row>18</xdr:row>
      <xdr:rowOff>152400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Chart 3">
              <a:extLst>
                <a:ext uri="{FF2B5EF4-FFF2-40B4-BE49-F238E27FC236}">
                  <a16:creationId xmlns:a16="http://schemas.microsoft.com/office/drawing/2014/main" id="{D2F31C67-4004-4F3A-8B8B-5740141315A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4563725" y="647700"/>
              <a:ext cx="4895850" cy="24193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21</xdr:col>
      <xdr:colOff>771524</xdr:colOff>
      <xdr:row>19</xdr:row>
      <xdr:rowOff>0</xdr:rowOff>
    </xdr:from>
    <xdr:to>
      <xdr:col>27</xdr:col>
      <xdr:colOff>123824</xdr:colOff>
      <xdr:row>35</xdr:row>
      <xdr:rowOff>152400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9710DF1B-CAD1-4682-83B1-F40359492E1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hieloka G. Eze" refreshedDate="45187.371999305557" createdVersion="8" refreshedVersion="8" minRefreshableVersion="3" recordCount="1345" xr:uid="{0B36858A-70DB-401E-AAB6-6DDDF8FBBD59}">
  <cacheSource type="worksheet">
    <worksheetSource ref="A1:T1346" sheet="wtf"/>
  </cacheSource>
  <cacheFields count="20">
    <cacheField name="Player" numFmtId="0">
      <sharedItems count="557">
        <s v="Abbey-Leigh Stringer"/>
        <s v="Abbie McManus"/>
        <s v="Abby Clarke"/>
        <s v="Adriana Leon"/>
        <s v="Agnes Beever-Jones"/>
        <s v="Aileen Whelan"/>
        <s v="Aimee Claypole"/>
        <s v="Aïssatou Tounkara"/>
        <s v="Alanna Kennedy"/>
        <s v="Alessia Russo"/>
        <s v="Alex Greenwood"/>
        <s v="Alice Keitley"/>
        <s v="Alisha Lehmann"/>
        <s v="Alsu Abdullina"/>
        <s v="Amalie Eikeland"/>
        <s v="Amalie Thestrup"/>
        <s v="Amber Tysiak"/>
        <s v="Amy Turner"/>
        <s v="Angharad James"/>
        <s v="Aniek Nouwen"/>
        <s v="Anna Leat"/>
        <s v="Anna Patten"/>
        <s v="Ann-Katrin Berger"/>
        <s v="Anouk Denton"/>
        <s v="Aoife Mannion"/>
        <s v="Ashleigh Neville"/>
        <s v="Ashleigh Plumptre"/>
        <s v="Asmita Ale"/>
        <s v="Aurora Galli"/>
        <s v="Ava Baker"/>
        <s v="Beth Mead"/>
        <s v="Bethany England"/>
        <s v="Brianna Visalli"/>
        <s v="Brooke Hendrix"/>
        <s v="Caitlin Foord"/>
        <s v="Carla Humphrey"/>
        <s v="Carrie Jones"/>
        <s v="Celin Ildhusøy"/>
        <s v="Ceri Holland"/>
        <s v="Chantelle Boye-Hlorkah"/>
        <s v="Charlie Wellings"/>
        <s v="Charlotte Wardlaw"/>
        <s v="Chelsea Ferguson"/>
        <s v="Chioma Ubogagu"/>
        <s v="Chloe Kelly"/>
        <s v="Cho So-hyun"/>
        <s v="CJ Bott"/>
        <s v="Clare Wheeler"/>
        <s v="Claudia Walker"/>
        <s v="Connie Scofield"/>
        <s v="Courtney Brosnan"/>
        <s v="Courtney Nevin"/>
        <s v="Dagný Brynjarsdóttir"/>
        <s v="Danielle Carter"/>
        <s v="Danielle Turner"/>
        <s v="Deanna Cooper"/>
        <s v="Deanne Rose"/>
        <s v="Dejana Stefanović"/>
        <s v="Demi Lambourne"/>
        <s v="Demi Stokes"/>
        <s v="Demi Vance"/>
        <s v="Deyna Castellanos"/>
        <s v="Diane Caldwell"/>
        <s v="Drew Spence"/>
        <s v="Eartha Cumings"/>
        <s v="Easther Mayi Kith"/>
        <s v="Elisabeth Terland"/>
        <s v="Elise Stenevik"/>
        <s v="Ella Toone"/>
        <s v="Ellie Brazil"/>
        <s v="Ellie Roebuck"/>
        <s v="Emily Gielnik"/>
        <s v="Emily Ramsey"/>
        <s v="Emma Harries"/>
        <s v="Emma Koivisto"/>
        <s v="Emma Kullberg"/>
        <s v="Emma Mitchell"/>
        <s v="Emma Snerle"/>
        <s v="Erin Cuthbert"/>
        <s v="Erin Simon"/>
        <s v="Esme Morgan"/>
        <s v="Estelle Cascarino"/>
        <s v="Ève Périsset"/>
        <s v="Eveliina Summanen"/>
        <s v="Evie Rabjohn"/>
        <s v="Faye Bryson"/>
        <s v="Faye Kirby"/>
        <s v="Filippa Angeldahl"/>
        <s v="Fran Kirby"/>
        <s v="Freya Godfrey"/>
        <s v="Freya Gregory"/>
        <s v="Frida Maanum"/>
        <s v="Fūka Nagano"/>
        <s v="Gabrielle George"/>
        <s v="Gemma Bonner"/>
        <s v="Gemma Evans"/>
        <s v="Georgia Brougham"/>
        <s v="Georgia Eaton-Collins"/>
        <s v="Georgia Mullett"/>
        <s v="Gilly Flaherty"/>
        <s v="Gio"/>
        <s v="Grace Fisk"/>
        <s v="Grace Moloney"/>
        <s v="Gracie Pearse"/>
        <s v="Guro Bergsvand"/>
        <s v="Guro Reiten"/>
        <s v="Halle Houssein"/>
        <s v="Hanna Bennison"/>
        <s v="Hannah Blundell"/>
        <s v="Hannah Cain"/>
        <s v="Hannah Hampton"/>
        <s v="Hannah Silcock"/>
        <s v="Hawa Cissoko"/>
        <s v="Hayley Ladd"/>
        <s v="Hayley Raso"/>
        <s v="Honoka Hayashi"/>
        <s v="Isobel Goodwin"/>
        <s v="Izzy Atkinson"/>
        <s v="Izzy Christiansen"/>
        <s v="Jackie Burns"/>
        <s v="Jade Moore"/>
        <s v="Janina Leitzig"/>
        <s v="Jasmine Matthews"/>
        <s v="Jayde Riviere"/>
        <s v="Jelena Čanković"/>
        <s v="Jemima Dahou"/>
        <s v="Jemma Purfield"/>
        <s v="Jennifer Beattie"/>
        <s v="Jess Carter"/>
        <s v="Jess Reavill"/>
        <s v="Jessica Ngunga"/>
        <s v="Jessica Park"/>
        <s v="Jessica Sigsworth"/>
        <s v="Jessica Ziu"/>
        <s v="Jessie Fleming"/>
        <s v="Jodie Taylor"/>
        <s v="Johanna Rytting Kaneryd"/>
        <s v="Jordan Nobbs"/>
        <s v="Jorja Fox"/>
        <s v="Josephine Green"/>
        <s v="Julia Zigiotti Olme"/>
        <s v="Julie Blakstad"/>
        <s v="Justine Vanhaevermaet"/>
        <s v="Kadeisha Buchanan"/>
        <s v="Karen Holmgaard"/>
        <s v="Kate Longhurst"/>
        <s v="Kateřina Svitková"/>
        <s v="Kathrine Kühl"/>
        <s v="Katie McCabe"/>
        <s v="Katie Robinson"/>
        <s v="Katie Stengel"/>
        <s v="Katie Zelem"/>
        <s v="Katja Snoeijs"/>
        <s v="Katrine Veje"/>
        <s v="Kayleigh Green"/>
        <s v="Keira Flannery"/>
        <s v="Kenza Dali"/>
        <s v="Kenzie Weir"/>
        <s v="Kerstin Casparij"/>
        <s v="Kerys Harrop"/>
        <s v="Khadija Shaw"/>
        <s v="Khiara Keating"/>
        <s v="Kim Little"/>
        <s v="Kirstie Levell"/>
        <s v="Kirsty Hanson"/>
        <s v="Kirsty Smith"/>
        <s v="Kit Graham"/>
        <s v="Kyah Simon"/>
        <s v="Laia Aleixandri"/>
        <s v="Laura Blindkilde"/>
        <s v="Laura Coombs"/>
        <s v="Laura Wienroither"/>
        <s v="Lauren Hemp"/>
        <s v="Lauren James"/>
        <s v="Lauren Wade"/>
        <s v="Leah Galton"/>
        <s v="Leah Williamson"/>
        <s v="Leanne Kiernan"/>
        <s v="Lee Geum-min"/>
        <s v="Leigh-Anne Robe"/>
        <s v="Leila Ouahabi"/>
        <s v="Lenna Gunning-Williams"/>
        <s v="Leonie Maier"/>
        <s v="Lia Wälti"/>
        <s v="Libby Bance"/>
        <s v="Lily Woodham"/>
        <s v="Lina Hurtig"/>
        <s v="Lisa Evans"/>
        <s v="Lisa Naalsund"/>
        <s v="Lotte Wubben-Moy"/>
        <s v="Lucía García"/>
        <s v="Lucy Graham"/>
        <s v="Lucy Parker"/>
        <s v="Lucy Staniforth"/>
        <s v="Lulu Jarvis"/>
        <s v="Lydia Williams"/>
        <s v="Mackenzie Arnold"/>
        <s v="Mackenzie Smith"/>
        <s v="Madison Perry"/>
        <s v="Magdalena Eriksson"/>
        <s v="Maisie Symonds"/>
        <s v="Mana Iwabuchi"/>
        <s v="Manuela Zinsberger"/>
        <s v="Maren Mjelde"/>
        <s v="Maria Thorisdottir"/>
        <s v="Martha Thomas"/>
        <s v="Mary Earps"/>
        <s v="Mary Fowler"/>
        <s v="Maya Le Tissier"/>
        <s v="Mayumi Pacheco"/>
        <s v="Megan Campbell"/>
        <s v="Megan Connolly"/>
        <s v="Megan Finnigan"/>
        <s v="Megan Walsh"/>
        <s v="Melanie Leupolz"/>
        <s v="Melisa Filis"/>
        <s v="Melissa Lawley"/>
        <s v="Michelle Agyemang"/>
        <s v="Millie Bright"/>
        <s v="Millie Turner"/>
        <s v="Miri Taylor"/>
        <s v="Missy Bo Kearns"/>
        <s v="Missy Goodwin"/>
        <s v="Molly Bartrip"/>
        <s v="Molly Pike"/>
        <s v="Monique Robinson"/>
        <s v="Natasha Dowie"/>
        <s v="Natasha Flint"/>
        <s v="Natasha Harding"/>
        <s v="Nathalie Björn"/>
        <s v="Niamh Charles"/>
        <s v="Niamh Fahey"/>
        <s v="Nicoline Sørensen"/>
        <s v="Nikita Parris"/>
        <s v="Nikola Karczewska"/>
        <s v="Noelle Maritz"/>
        <s v="Olivia McLoughlin"/>
        <s v="Ona Batlle"/>
        <s v="Park Yeeun"/>
        <s v="Pernille Harder"/>
        <s v="Poppy Pattinson"/>
        <s v="Princess Ademiluyi"/>
        <s v="Rachael Laws"/>
        <s v="Rachel Corsie"/>
        <s v="Rachel Daly"/>
        <s v="Rachel Furness"/>
        <s v="Rachel Rowe"/>
        <s v="Rachel Williams"/>
        <s v="Rafaelle"/>
        <s v="Ramona Petzelberger"/>
        <s v="Rebecca Jane"/>
        <s v="Rebecca Spencer"/>
        <s v="Rebekah Stott"/>
        <s v="Remi Allen"/>
        <s v="Remy Siemsen"/>
        <s v="Rhiannon Roberts"/>
        <s v="Ria Percival"/>
        <s v="Rikke Sevecke"/>
        <s v="Risa Shimizu"/>
        <s v="Rosella Ayane"/>
        <s v="Ruby Mace"/>
        <s v="Ruesha Littlejohn"/>
        <s v="Sabrina D'Angelo"/>
        <s v="Sam Kerr"/>
        <s v="Samantha Tierney"/>
        <s v="Sandy MacIver"/>
        <s v="Sanne Troelsgaard Nielsen"/>
        <s v="Sara Holmgaard"/>
        <s v="Sarah Mayling"/>
        <s v="Shanice van de Sanden"/>
        <s v="Shannon Cooke"/>
        <s v="Shannon O’Brien"/>
        <s v="Shelina Zadorsky"/>
        <s v="Simone Magill"/>
        <s v="Sofie Pedersen"/>
        <s v="Sophie Hillyerd"/>
        <s v="Sophie Howard"/>
        <s v="Sophie Ingle"/>
        <s v="Steph Catley"/>
        <s v="Steph Houghton"/>
        <s v="Stina Blackstenius"/>
        <s v="Taylor Hinds"/>
        <s v="Teyah Goldie"/>
        <s v="Thea Kyvåg"/>
        <s v="Tia Primmer"/>
        <s v="Tinaya Alexander"/>
        <s v="Tinja-Riikka Korpela"/>
        <s v="Veatriki Sarri"/>
        <s v="Vicky Losada"/>
        <s v="Victoria Pelova"/>
        <s v="Victoria Williams"/>
        <s v="Vilde Bøe Risa"/>
        <s v="Viviane Asseyi"/>
        <s v="Vivianne Miedema"/>
        <s v="Yana Daniels"/>
        <s v="Yui Hasegawa"/>
        <s v="Zećira Mušović"/>
        <s v="Zoe Morse"/>
        <s v="Abbi Grant"/>
        <s v="Abbie Cowie"/>
        <s v="Alex Hennessy"/>
        <s v="Angela Addison"/>
        <s v="Anita Asante"/>
        <s v="Anna Anvegard"/>
        <s v="Arabella Suttie"/>
        <s v="Beth Roberts"/>
        <s v="Brooke Cairns"/>
        <s v="Brooke Chaplen"/>
        <s v="Caroline Weir"/>
        <s v="Cecilie Sandvej"/>
        <s v="Charlotte Devlin"/>
        <s v="Chloe Arthur"/>
        <s v="Chloe Peplow"/>
        <s v="Christie Murray"/>
        <s v="Claire Emslie"/>
        <s v="Danielle Buet"/>
        <s v="Danique Kerkdijk"/>
        <s v="Eleanor Ryan-Doyle"/>
        <s v="Elisha N'Dow"/>
        <s v="Ellen White"/>
        <s v="Elysia Boddy"/>
        <s v="Emily Simpkins"/>
        <s v="Emily Whelan"/>
        <s v="Esmee de Graaf"/>
        <s v="Esther Morgan"/>
        <s v="Felicity Gibbons"/>
        <s v="Gemma Davison"/>
        <s v="Gemma Lawley"/>
        <s v="Georgia Stanway"/>
        <s v="Grace Clinton"/>
        <s v="Grace Garrad"/>
        <s v="Harriet Scott"/>
        <s v="Inessa Kaagman"/>
        <s v="Isabella Lane"/>
        <s v="Ivana Fuso"/>
        <s v="Jackie Groenen"/>
        <s v="Jade Pennock"/>
        <s v="Jamie Finn"/>
        <s v="Janine Beckie"/>
        <s v="Jeon Ga-eul"/>
        <s v="Ji So-yun"/>
        <s v="Jill Scott"/>
        <s v="Jodie Hutton"/>
        <s v="Jonna Andersson"/>
        <s v="Karima Benameur"/>
        <s v="Katie Startup"/>
        <s v="Keira Walsh"/>
        <s v="Lachante Paul"/>
        <s v="Libby Smith"/>
        <s v="Lisa Robertson"/>
        <s v="Lois Joel"/>
        <s v="Louanne Worsley"/>
        <s v="Louise Quinn"/>
        <s v="Lucy Bronze"/>
        <s v="Lucy Jones"/>
        <s v="Lucy Quinn"/>
        <s v="Lucy Whipp"/>
        <s v="Maéva Clemaron"/>
        <s v="Marie Hourihan"/>
        <s v="Marisa Ewers"/>
        <s v="Martha Harris"/>
        <s v="Meaghan Sargeant"/>
        <s v="Natalie Haigh"/>
        <s v="Paige Bailey-Gayle"/>
        <s v="Rebecca Holloway"/>
        <s v="Rhiannon Stewart"/>
        <s v="Rinsola Babajide"/>
        <s v="Sarah Ewens"/>
        <s v="Shania Hayles"/>
        <s v="Sian Rogers"/>
        <s v="Signe Bruun"/>
        <s v="Simone Boye Sørensen"/>
        <s v="Sophie Barker"/>
        <s v="Sophie Harris"/>
        <s v="Tameka Yallop"/>
        <s v="Tang Jiali"/>
        <s v="Tobin Heath"/>
        <s v="Toni Duggan"/>
        <s v="Valérie Gauvin"/>
        <s v="Viktoria Schnaderbeck"/>
        <s v="Zaneta Wyne"/>
        <s v="Abby Dahlkemper"/>
        <s v="Abigail Harrison"/>
        <s v="Aimee Palmer"/>
        <s v="Alex Morgan"/>
        <s v="Alicia Window"/>
        <s v="Amy West"/>
        <s v="Anna Filbey"/>
        <s v="Aurora Mikalsen"/>
        <s v="Benedicte Håland"/>
        <s v="Bethan Roe"/>
        <s v="Carly Telford"/>
        <s v="Caroline Siems"/>
        <s v="Cecilie Fiskerstrand"/>
        <s v="Cecilie Kvamme"/>
        <s v="Chloe Logarzo"/>
        <s v="Chloe McCarron"/>
        <s v="Christen Press"/>
        <s v="Damaris Egurrola"/>
        <s v="Daniëlle van de Donk"/>
        <s v="Denise O'Sullivan"/>
        <s v="Destiney Toussaint"/>
        <s v="Diana Silva"/>
        <s v="Ebony Salmon"/>
        <s v="Elish Sulola"/>
        <s v="Ella Franklin-Fraiture"/>
        <s v="Ella Mastrantonio"/>
        <s v="Ellen Jones"/>
        <s v="Emily Murphy"/>
        <s v="Emily Syme"/>
        <s v="Emily van Egmond"/>
        <s v="Emma Bissell"/>
        <s v="Emma Follis"/>
        <s v="Emma Rose Kelly"/>
        <s v="Fara Williams"/>
        <s v="Flo Allen"/>
        <s v="Georgia Wilson"/>
        <s v="Hannah Godfrey"/>
        <s v="Ingrid Moe Wold"/>
        <s v="Jamie-Lee Napier"/>
        <s v="Jane Ross"/>
        <s v="Jess Fishlock"/>
        <s v="Jessica Wooley"/>
        <s v="Jill Roord"/>
        <s v="Karen Bardsley"/>
        <s v="Kiera Skeels"/>
        <s v="Kirsty Barton"/>
        <s v="Kristine Leine"/>
        <s v="Laura Rafferty"/>
        <s v="Laura Vetterlein"/>
        <s v="Lauren Bruton"/>
        <s v="Lisa Weiß"/>
        <s v="Lotta Ökvist"/>
        <s v="Lucía Marte"/>
        <s v="Maisey Barker"/>
        <s v="Malin Gut"/>
        <s v="Millie Davies"/>
        <s v="Mollie Green"/>
        <s v="Nadine Hanssen"/>
        <s v="Naomi Layzell"/>
        <s v="Nor Mustafa"/>
        <s v="Nora Heroum"/>
        <s v="Rianna Dean"/>
        <s v="Rianna Jarrett"/>
        <s v="Rose Lavelle"/>
        <s v="Ruby Grant"/>
        <s v="Sam Mewis"/>
        <s v="Siri Worm"/>
        <s v="Sophie Baggaley"/>
        <s v="Sophie Haywood"/>
        <s v="Stine Larsen"/>
        <s v="Wiktoria Kiszkis"/>
        <s v="Adelina Engman"/>
        <s v="Adrienne Jordan"/>
        <s v="Amanda Nildén"/>
        <s v="Amy Rodgers"/>
        <s v="Anke Preuß"/>
        <s v="Anna Moorhouse"/>
        <s v="Ashley Hodson"/>
        <s v="Coral-Jade Haines"/>
        <s v="Courtney Sweetman-Kirk"/>
        <s v="Elise Hughes"/>
        <s v="Fern Whelan"/>
        <s v="Filippa Wallén"/>
        <s v="Frances Kitching"/>
        <s v="Frankie Brown"/>
        <s v="Iniabasi Umotong"/>
        <s v="Jacynta Galabadaarachchi"/>
        <s v="Jade Bailey"/>
        <s v="Jenna Schillaci"/>
        <s v="Jessica Clarke"/>
        <s v="Jo Potter"/>
        <s v="Julia Simic"/>
        <s v="Kate Natkiel"/>
        <s v="Katharina Baunach"/>
        <s v="Kika van Es"/>
        <s v="Kirsten Reilly"/>
        <s v="Kirsty Linnett"/>
        <s v="Léa Le Garrec"/>
        <s v="Lily Simkin"/>
        <s v="Lisa-Marie Karlseng Utland"/>
        <s v="Lizzie Arnot"/>
        <s v="Loren Dykes"/>
        <s v="Maisy Collis"/>
        <s v="Matilde Fidalgo"/>
        <s v="Matilde Lundorf"/>
        <s v="Megan Wynne"/>
        <s v="Millie Farrow"/>
        <s v="Olivia Chance"/>
        <s v="Pauline Bremer"/>
        <s v="Pauline Peyraud-Magnin"/>
        <s v="Rakel Hönnudóttir"/>
        <s v="Ramona Bachmann"/>
        <s v="Rebecca May"/>
        <s v="Sophie Bradley"/>
        <s v="Tessa Wullaert"/>
        <s v="Tessel Middag"/>
        <s v="Tyler Toland"/>
        <s v="Vencislav Vasilev"/>
        <s v="Vita van der Linden"/>
        <s v="Ali Johnson"/>
        <s v="Ali Riley"/>
        <s v="Amber Gaylor"/>
        <s v="Amelia Hazard"/>
        <s v="Amy Goddard"/>
        <s v="Annabel Blanchard"/>
        <s v="Ann-Marie Heatherson"/>
        <s v="Ava Kuyken"/>
        <s v="Bonnie Horwood"/>
        <s v="Charlie Estcourt"/>
        <s v="Charlie Taylor"/>
        <s v="Charlotte Buxton"/>
        <s v="Claire Rafferty"/>
        <s v="Dominique Bruinenberg"/>
        <s v="Dominique Janssen"/>
        <s v="Eleanor Hack"/>
        <s v="Ella Rutherford"/>
        <s v="Ellie Mason"/>
        <s v="Emily Donovan"/>
        <s v="Emma Brownlie"/>
        <s v="Erin Bloomfield"/>
        <s v="Georgia Evans"/>
        <s v="Hannah Short"/>
        <s v="Heather Payne"/>
        <s v="Hedvig Lindahl"/>
        <s v="Janni Arnth"/>
        <s v="Jenna Legg"/>
        <s v="Jessica Samuelsson"/>
        <s v="Jodie Brett"/>
        <s v="Julie Biesmans"/>
        <s v="Juliette Kemppi"/>
        <s v="Karen Carney"/>
        <s v="Katie Rood"/>
        <s v="Kirsty Pearce"/>
        <s v="Laura Hartley"/>
        <s v="Lauren Thomas"/>
        <s v="Leah Burridge"/>
        <s v="Leandra Little"/>
        <s v="Liberty Piggott"/>
        <s v="Lucienne Reichardt"/>
        <s v="Lucy Gillett"/>
        <s v="Megan Alexander"/>
        <s v="Monique Fischer"/>
        <s v="Nadia Nadim"/>
        <s v="Nicola Cousins"/>
        <s v="Olivia Fergusson"/>
        <s v="Paige Williams"/>
        <s v="Poppy Wilson"/>
        <s v="Rachel McLauchlan"/>
        <s v="Rosie Kmita"/>
        <s v="Sari van Veenendaal"/>
        <s v="Satara Murray"/>
        <s v="Shannon Albuery"/>
        <s v="Simran Jhamat"/>
        <s v="Sophie Perry"/>
        <s v="Tabea Kemme"/>
        <s v="Vyan Sampson"/>
      </sharedItems>
    </cacheField>
    <cacheField name="Nation" numFmtId="0">
      <sharedItems containsBlank="1"/>
    </cacheField>
    <cacheField name="Country" numFmtId="0">
      <sharedItems containsBlank="1"/>
    </cacheField>
    <cacheField name="Position" numFmtId="0">
      <sharedItems/>
    </cacheField>
    <cacheField name="Team" numFmtId="0">
      <sharedItems count="15">
        <s v="West Ham"/>
        <s v="Leicester City"/>
        <s v="Everton"/>
        <s v="Manchester Utd"/>
        <s v="Chelsea"/>
        <s v="Manchester City"/>
        <s v="Aston Villa"/>
        <s v="Reading"/>
        <s v="Tottenham"/>
        <s v="Arsenal"/>
        <s v="Brighton"/>
        <s v="Liverpool"/>
        <s v="Birmingham City"/>
        <s v="Bristol City"/>
        <s v="Yeovil Town"/>
      </sharedItems>
    </cacheField>
    <cacheField name="Age" numFmtId="0">
      <sharedItems containsString="0" containsBlank="1" containsNumber="1" containsInteger="1" minValue="15" maxValue="36"/>
    </cacheField>
    <cacheField name="Born" numFmtId="0">
      <sharedItems containsString="0" containsBlank="1" containsNumber="1" containsInteger="1" minValue="1983" maxValue="2006"/>
    </cacheField>
    <cacheField name="MP" numFmtId="0">
      <sharedItems containsSemiMixedTypes="0" containsString="0" containsNumber="1" containsInteger="1" minValue="1" maxValue="22"/>
    </cacheField>
    <cacheField name="Starts" numFmtId="0">
      <sharedItems containsSemiMixedTypes="0" containsString="0" containsNumber="1" containsInteger="1" minValue="0" maxValue="22"/>
    </cacheField>
    <cacheField name="Min" numFmtId="0">
      <sharedItems containsSemiMixedTypes="0" containsString="0" containsNumber="1" containsInteger="1" minValue="1" maxValue="1980"/>
    </cacheField>
    <cacheField name="Goals" numFmtId="0">
      <sharedItems containsSemiMixedTypes="0" containsString="0" containsNumber="1" containsInteger="1" minValue="0" maxValue="22" count="20">
        <n v="0"/>
        <n v="1"/>
        <n v="2"/>
        <n v="10"/>
        <n v="5"/>
        <n v="3"/>
        <n v="12"/>
        <n v="6"/>
        <n v="4"/>
        <n v="7"/>
        <n v="9"/>
        <n v="20"/>
        <n v="8"/>
        <n v="22"/>
        <n v="11"/>
        <n v="14"/>
        <n v="16"/>
        <n v="21"/>
        <n v="18"/>
        <n v="19"/>
      </sharedItems>
    </cacheField>
    <cacheField name="Assists" numFmtId="0">
      <sharedItems containsSemiMixedTypes="0" containsString="0" containsNumber="1" containsInteger="1" minValue="0" maxValue="12"/>
    </cacheField>
    <cacheField name="G-PK" numFmtId="0">
      <sharedItems containsSemiMixedTypes="0" containsString="0" containsNumber="1" containsInteger="1" minValue="0" maxValue="22"/>
    </cacheField>
    <cacheField name="PK" numFmtId="0">
      <sharedItems containsSemiMixedTypes="0" containsString="0" containsNumber="1" containsInteger="1" minValue="0" maxValue="4"/>
    </cacheField>
    <cacheField name="Pkatt" numFmtId="0">
      <sharedItems containsSemiMixedTypes="0" containsString="0" containsNumber="1" containsInteger="1" minValue="0" maxValue="4"/>
    </cacheField>
    <cacheField name="Yellow" numFmtId="0">
      <sharedItems containsSemiMixedTypes="0" containsString="0" containsNumber="1" containsInteger="1" minValue="0" maxValue="9"/>
    </cacheField>
    <cacheField name="Red" numFmtId="0">
      <sharedItems containsSemiMixedTypes="0" containsString="0" containsNumber="1" containsInteger="1" minValue="0" maxValue="2"/>
    </cacheField>
    <cacheField name="Goals Per 90 Minutes" numFmtId="0">
      <sharedItems containsString="0" containsBlank="1" containsNumber="1" containsInteger="1" minValue="0" maxValue="0"/>
    </cacheField>
    <cacheField name="Season" numFmtId="0">
      <sharedItems/>
    </cacheField>
    <cacheField name="Team’s Points for Season" numFmtId="0">
      <sharedItems containsSemiMixedTypes="0" containsString="0" containsNumber="1" containsInteger="1" minValue="-3" maxValue="5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45">
  <r>
    <x v="0"/>
    <s v="eng"/>
    <s v="ENG"/>
    <s v="MF"/>
    <x v="0"/>
    <n v="27"/>
    <n v="1995"/>
    <n v="11"/>
    <n v="9"/>
    <n v="797"/>
    <x v="0"/>
    <n v="0"/>
    <n v="0"/>
    <n v="0"/>
    <n v="0"/>
    <n v="4"/>
    <n v="0"/>
    <n v="0"/>
    <s v="2022-2023"/>
    <n v="21"/>
  </r>
  <r>
    <x v="1"/>
    <s v="eng"/>
    <s v="ENG"/>
    <s v="MF,DF"/>
    <x v="1"/>
    <n v="29"/>
    <n v="1993"/>
    <n v="2"/>
    <n v="2"/>
    <n v="151"/>
    <x v="0"/>
    <n v="0"/>
    <n v="0"/>
    <n v="0"/>
    <n v="0"/>
    <n v="0"/>
    <n v="0"/>
    <m/>
    <s v="2022-2023"/>
    <n v="16"/>
  </r>
  <r>
    <x v="2"/>
    <m/>
    <m/>
    <s v="FW"/>
    <x v="2"/>
    <m/>
    <m/>
    <n v="1"/>
    <n v="0"/>
    <n v="6"/>
    <x v="0"/>
    <n v="0"/>
    <n v="0"/>
    <n v="0"/>
    <n v="0"/>
    <n v="1"/>
    <n v="0"/>
    <m/>
    <s v="2022-2023"/>
    <n v="30"/>
  </r>
  <r>
    <x v="3"/>
    <s v="ca"/>
    <s v="CAN"/>
    <s v="FW,MF"/>
    <x v="3"/>
    <n v="29"/>
    <n v="1992"/>
    <n v="5"/>
    <n v="0"/>
    <n v="81"/>
    <x v="1"/>
    <n v="0"/>
    <n v="1"/>
    <n v="0"/>
    <n v="0"/>
    <n v="0"/>
    <n v="0"/>
    <m/>
    <s v="2022-2023"/>
    <n v="56"/>
  </r>
  <r>
    <x v="4"/>
    <s v="eng"/>
    <s v="ENG"/>
    <s v="FW"/>
    <x v="2"/>
    <n v="19"/>
    <n v="2003"/>
    <n v="16"/>
    <n v="7"/>
    <n v="761"/>
    <x v="2"/>
    <n v="0"/>
    <n v="2"/>
    <n v="0"/>
    <n v="0"/>
    <n v="3"/>
    <n v="1"/>
    <m/>
    <s v="2022-2023"/>
    <n v="30"/>
  </r>
  <r>
    <x v="5"/>
    <s v="eng"/>
    <s v="ENG"/>
    <s v="MF,FW"/>
    <x v="1"/>
    <n v="30"/>
    <n v="1991"/>
    <n v="22"/>
    <n v="22"/>
    <n v="1927"/>
    <x v="1"/>
    <n v="1"/>
    <n v="1"/>
    <n v="0"/>
    <n v="0"/>
    <n v="1"/>
    <n v="0"/>
    <m/>
    <s v="2022-2023"/>
    <n v="16"/>
  </r>
  <r>
    <x v="6"/>
    <s v="eng"/>
    <s v="ENG"/>
    <s v="MF"/>
    <x v="4"/>
    <m/>
    <m/>
    <n v="1"/>
    <n v="0"/>
    <n v="10"/>
    <x v="0"/>
    <n v="0"/>
    <n v="0"/>
    <n v="0"/>
    <n v="0"/>
    <n v="0"/>
    <n v="0"/>
    <m/>
    <s v="2022-2023"/>
    <n v="58"/>
  </r>
  <r>
    <x v="7"/>
    <s v="fr"/>
    <s v="FRA"/>
    <s v="DF"/>
    <x v="3"/>
    <n v="27"/>
    <n v="1995"/>
    <n v="1"/>
    <n v="0"/>
    <n v="5"/>
    <x v="0"/>
    <n v="0"/>
    <n v="0"/>
    <n v="0"/>
    <n v="0"/>
    <n v="0"/>
    <n v="0"/>
    <m/>
    <s v="2022-2023"/>
    <n v="56"/>
  </r>
  <r>
    <x v="8"/>
    <s v="au"/>
    <s v="AUS"/>
    <s v="DF"/>
    <x v="5"/>
    <n v="27"/>
    <n v="1995"/>
    <n v="2"/>
    <n v="2"/>
    <n v="180"/>
    <x v="0"/>
    <n v="0"/>
    <n v="0"/>
    <n v="0"/>
    <n v="0"/>
    <n v="0"/>
    <n v="0"/>
    <m/>
    <s v="2022-2023"/>
    <n v="47"/>
  </r>
  <r>
    <x v="9"/>
    <s v="eng"/>
    <s v="ENG"/>
    <s v="FW"/>
    <x v="3"/>
    <n v="23"/>
    <n v="1999"/>
    <n v="20"/>
    <n v="19"/>
    <n v="1548"/>
    <x v="3"/>
    <n v="1"/>
    <n v="10"/>
    <n v="0"/>
    <n v="0"/>
    <n v="1"/>
    <n v="0"/>
    <m/>
    <s v="2022-2023"/>
    <n v="56"/>
  </r>
  <r>
    <x v="10"/>
    <s v="eng"/>
    <s v="ENG"/>
    <s v="DF"/>
    <x v="5"/>
    <n v="28"/>
    <n v="1993"/>
    <n v="21"/>
    <n v="20"/>
    <n v="1792"/>
    <x v="0"/>
    <n v="3"/>
    <n v="0"/>
    <n v="0"/>
    <n v="1"/>
    <n v="3"/>
    <n v="0"/>
    <m/>
    <s v="2022-2023"/>
    <n v="47"/>
  </r>
  <r>
    <x v="11"/>
    <m/>
    <m/>
    <s v="FW"/>
    <x v="6"/>
    <m/>
    <m/>
    <n v="1"/>
    <n v="0"/>
    <n v="1"/>
    <x v="0"/>
    <n v="0"/>
    <n v="0"/>
    <n v="0"/>
    <n v="0"/>
    <n v="0"/>
    <n v="0"/>
    <m/>
    <s v="2022-2023"/>
    <n v="37"/>
  </r>
  <r>
    <x v="12"/>
    <s v="ch"/>
    <s v="SUI"/>
    <s v="FW"/>
    <x v="6"/>
    <n v="23"/>
    <n v="1999"/>
    <n v="22"/>
    <n v="18"/>
    <n v="1526"/>
    <x v="4"/>
    <n v="2"/>
    <n v="5"/>
    <n v="0"/>
    <n v="1"/>
    <n v="2"/>
    <n v="0"/>
    <m/>
    <s v="2022-2023"/>
    <n v="37"/>
  </r>
  <r>
    <x v="13"/>
    <s v="ru"/>
    <s v="RUS"/>
    <s v="DF,FW"/>
    <x v="4"/>
    <n v="21"/>
    <n v="2001"/>
    <n v="6"/>
    <n v="0"/>
    <n v="121"/>
    <x v="0"/>
    <n v="1"/>
    <n v="0"/>
    <n v="0"/>
    <n v="0"/>
    <n v="0"/>
    <n v="0"/>
    <m/>
    <s v="2022-2023"/>
    <n v="58"/>
  </r>
  <r>
    <x v="14"/>
    <s v="no"/>
    <s v="NOR"/>
    <s v="MF,DF"/>
    <x v="7"/>
    <n v="26"/>
    <n v="1995"/>
    <n v="22"/>
    <n v="22"/>
    <n v="1980"/>
    <x v="1"/>
    <n v="1"/>
    <n v="1"/>
    <n v="0"/>
    <n v="0"/>
    <n v="2"/>
    <n v="0"/>
    <m/>
    <s v="2022-2023"/>
    <n v="11"/>
  </r>
  <r>
    <x v="15"/>
    <s v="dk"/>
    <s v="DEN"/>
    <s v="FW,MF"/>
    <x v="0"/>
    <n v="27"/>
    <n v="1995"/>
    <n v="10"/>
    <n v="6"/>
    <n v="493"/>
    <x v="0"/>
    <n v="0"/>
    <n v="0"/>
    <n v="0"/>
    <n v="0"/>
    <n v="0"/>
    <n v="0"/>
    <m/>
    <s v="2022-2023"/>
    <n v="21"/>
  </r>
  <r>
    <x v="16"/>
    <s v="be"/>
    <s v="BEL"/>
    <s v="DF"/>
    <x v="0"/>
    <n v="22"/>
    <n v="2000"/>
    <n v="4"/>
    <n v="3"/>
    <n v="225"/>
    <x v="0"/>
    <n v="0"/>
    <n v="0"/>
    <n v="0"/>
    <n v="0"/>
    <n v="0"/>
    <n v="0"/>
    <m/>
    <s v="2022-2023"/>
    <n v="21"/>
  </r>
  <r>
    <x v="17"/>
    <s v="eng"/>
    <s v="ENG"/>
    <s v="DF"/>
    <x v="8"/>
    <n v="31"/>
    <n v="1991"/>
    <n v="22"/>
    <n v="22"/>
    <n v="1851"/>
    <x v="0"/>
    <n v="0"/>
    <n v="0"/>
    <n v="0"/>
    <n v="0"/>
    <n v="4"/>
    <n v="0"/>
    <m/>
    <s v="2022-2023"/>
    <n v="18"/>
  </r>
  <r>
    <x v="18"/>
    <s v="wls"/>
    <s v="WAL"/>
    <s v="MF"/>
    <x v="8"/>
    <n v="28"/>
    <n v="1994"/>
    <n v="22"/>
    <n v="17"/>
    <n v="1555"/>
    <x v="0"/>
    <n v="2"/>
    <n v="0"/>
    <n v="0"/>
    <n v="0"/>
    <n v="1"/>
    <n v="0"/>
    <m/>
    <s v="2022-2023"/>
    <n v="18"/>
  </r>
  <r>
    <x v="19"/>
    <s v="nl"/>
    <s v="NED"/>
    <s v="DF"/>
    <x v="4"/>
    <n v="23"/>
    <n v="1999"/>
    <n v="3"/>
    <n v="1"/>
    <n v="120"/>
    <x v="0"/>
    <n v="0"/>
    <n v="0"/>
    <n v="0"/>
    <n v="0"/>
    <n v="0"/>
    <n v="0"/>
    <m/>
    <s v="2022-2023"/>
    <n v="58"/>
  </r>
  <r>
    <x v="20"/>
    <s v="nz"/>
    <s v="NZL"/>
    <s v="GK"/>
    <x v="6"/>
    <n v="21"/>
    <n v="2001"/>
    <n v="7"/>
    <n v="7"/>
    <n v="630"/>
    <x v="0"/>
    <n v="0"/>
    <n v="0"/>
    <n v="0"/>
    <n v="0"/>
    <n v="1"/>
    <n v="0"/>
    <m/>
    <s v="2022-2023"/>
    <n v="37"/>
  </r>
  <r>
    <x v="21"/>
    <s v="eng"/>
    <s v="ENG"/>
    <s v="DF"/>
    <x v="6"/>
    <n v="23"/>
    <n v="1999"/>
    <n v="19"/>
    <n v="18"/>
    <n v="1578"/>
    <x v="0"/>
    <n v="1"/>
    <n v="0"/>
    <n v="0"/>
    <n v="0"/>
    <n v="1"/>
    <n v="0"/>
    <m/>
    <s v="2022-2023"/>
    <n v="37"/>
  </r>
  <r>
    <x v="22"/>
    <s v="de"/>
    <s v="GER"/>
    <s v="GK"/>
    <x v="4"/>
    <n v="31"/>
    <n v="1990"/>
    <n v="15"/>
    <n v="15"/>
    <n v="1350"/>
    <x v="0"/>
    <n v="0"/>
    <n v="0"/>
    <n v="0"/>
    <n v="0"/>
    <n v="0"/>
    <n v="0"/>
    <m/>
    <s v="2022-2023"/>
    <n v="58"/>
  </r>
  <r>
    <x v="23"/>
    <s v="eng"/>
    <s v="ENG"/>
    <s v="DF,FW"/>
    <x v="0"/>
    <n v="19"/>
    <n v="2003"/>
    <n v="5"/>
    <n v="3"/>
    <n v="245"/>
    <x v="0"/>
    <n v="0"/>
    <n v="0"/>
    <n v="0"/>
    <n v="0"/>
    <n v="0"/>
    <n v="0"/>
    <m/>
    <s v="2022-2023"/>
    <n v="21"/>
  </r>
  <r>
    <x v="24"/>
    <s v="ie"/>
    <s v="IRL"/>
    <s v="DF"/>
    <x v="3"/>
    <n v="26"/>
    <n v="1995"/>
    <n v="5"/>
    <n v="2"/>
    <n v="212"/>
    <x v="0"/>
    <n v="0"/>
    <n v="0"/>
    <n v="0"/>
    <n v="0"/>
    <n v="0"/>
    <n v="0"/>
    <m/>
    <s v="2022-2023"/>
    <n v="56"/>
  </r>
  <r>
    <x v="25"/>
    <s v="eng"/>
    <s v="ENG"/>
    <s v="DF,MF"/>
    <x v="8"/>
    <n v="29"/>
    <n v="1993"/>
    <n v="21"/>
    <n v="19"/>
    <n v="1738"/>
    <x v="5"/>
    <n v="3"/>
    <n v="3"/>
    <n v="0"/>
    <n v="0"/>
    <n v="4"/>
    <n v="1"/>
    <m/>
    <s v="2022-2023"/>
    <n v="18"/>
  </r>
  <r>
    <x v="26"/>
    <s v="ng"/>
    <s v="NGA"/>
    <s v="DF"/>
    <x v="1"/>
    <n v="24"/>
    <n v="1998"/>
    <n v="20"/>
    <n v="20"/>
    <n v="1739"/>
    <x v="1"/>
    <n v="0"/>
    <n v="1"/>
    <n v="0"/>
    <n v="0"/>
    <n v="4"/>
    <n v="0"/>
    <m/>
    <s v="2022-2023"/>
    <n v="16"/>
  </r>
  <r>
    <x v="27"/>
    <s v="eng"/>
    <s v="ENG"/>
    <s v="DF,MF"/>
    <x v="8"/>
    <n v="20"/>
    <n v="2001"/>
    <n v="13"/>
    <n v="10"/>
    <n v="815"/>
    <x v="0"/>
    <n v="1"/>
    <n v="0"/>
    <n v="0"/>
    <n v="0"/>
    <n v="0"/>
    <n v="0"/>
    <m/>
    <s v="2022-2023"/>
    <n v="18"/>
  </r>
  <r>
    <x v="28"/>
    <s v="it"/>
    <s v="ITA"/>
    <s v="MF"/>
    <x v="2"/>
    <n v="25"/>
    <n v="1996"/>
    <n v="20"/>
    <n v="13"/>
    <n v="1066"/>
    <x v="0"/>
    <n v="2"/>
    <n v="0"/>
    <n v="0"/>
    <n v="0"/>
    <n v="0"/>
    <n v="0"/>
    <m/>
    <s v="2022-2023"/>
    <n v="30"/>
  </r>
  <r>
    <x v="29"/>
    <s v="eng"/>
    <s v="ENG"/>
    <s v="FW"/>
    <x v="1"/>
    <n v="16"/>
    <n v="2006"/>
    <n v="9"/>
    <n v="1"/>
    <n v="158"/>
    <x v="1"/>
    <n v="0"/>
    <n v="1"/>
    <n v="0"/>
    <n v="0"/>
    <n v="0"/>
    <n v="0"/>
    <m/>
    <s v="2022-2023"/>
    <n v="16"/>
  </r>
  <r>
    <x v="30"/>
    <s v="eng"/>
    <s v="ENG"/>
    <s v="FW"/>
    <x v="9"/>
    <n v="27"/>
    <n v="1995"/>
    <n v="7"/>
    <n v="7"/>
    <n v="612"/>
    <x v="5"/>
    <n v="4"/>
    <n v="3"/>
    <n v="0"/>
    <n v="0"/>
    <n v="0"/>
    <n v="0"/>
    <m/>
    <s v="2022-2023"/>
    <n v="47"/>
  </r>
  <r>
    <x v="31"/>
    <s v="eng"/>
    <s v="ENG"/>
    <s v="FW"/>
    <x v="4"/>
    <n v="28"/>
    <n v="1994"/>
    <n v="8"/>
    <n v="2"/>
    <n v="255"/>
    <x v="2"/>
    <n v="0"/>
    <n v="2"/>
    <n v="0"/>
    <n v="0"/>
    <n v="0"/>
    <n v="0"/>
    <m/>
    <s v="2022-2023"/>
    <n v="58"/>
  </r>
  <r>
    <x v="31"/>
    <s v="eng"/>
    <s v="ENG"/>
    <s v="FW"/>
    <x v="8"/>
    <n v="28"/>
    <n v="1994"/>
    <n v="12"/>
    <n v="12"/>
    <n v="1009"/>
    <x v="6"/>
    <n v="1"/>
    <n v="11"/>
    <n v="1"/>
    <n v="1"/>
    <n v="0"/>
    <n v="0"/>
    <m/>
    <s v="2022-2023"/>
    <n v="18"/>
  </r>
  <r>
    <x v="32"/>
    <s v="us"/>
    <s v="USA"/>
    <s v="MF,FW"/>
    <x v="10"/>
    <n v="27"/>
    <n v="1995"/>
    <n v="10"/>
    <n v="1"/>
    <n v="213"/>
    <x v="0"/>
    <n v="0"/>
    <n v="0"/>
    <n v="0"/>
    <n v="0"/>
    <n v="0"/>
    <n v="0"/>
    <m/>
    <s v="2022-2023"/>
    <n v="16"/>
  </r>
  <r>
    <x v="33"/>
    <s v="us"/>
    <s v="USA"/>
    <s v="DF"/>
    <x v="7"/>
    <n v="29"/>
    <n v="1993"/>
    <n v="7"/>
    <n v="2"/>
    <n v="214"/>
    <x v="0"/>
    <n v="0"/>
    <n v="0"/>
    <n v="0"/>
    <n v="0"/>
    <n v="0"/>
    <n v="0"/>
    <m/>
    <s v="2022-2023"/>
    <n v="11"/>
  </r>
  <r>
    <x v="34"/>
    <s v="au"/>
    <s v="AUS"/>
    <s v="FW,MF"/>
    <x v="9"/>
    <n v="27"/>
    <n v="1994"/>
    <n v="19"/>
    <n v="18"/>
    <n v="1335"/>
    <x v="7"/>
    <n v="6"/>
    <n v="6"/>
    <n v="0"/>
    <n v="0"/>
    <n v="3"/>
    <n v="0"/>
    <m/>
    <s v="2022-2023"/>
    <n v="47"/>
  </r>
  <r>
    <x v="35"/>
    <s v="eng"/>
    <s v="ENG"/>
    <s v="FW,MF"/>
    <x v="11"/>
    <n v="25"/>
    <n v="1996"/>
    <n v="8"/>
    <n v="1"/>
    <n v="100"/>
    <x v="0"/>
    <n v="0"/>
    <n v="0"/>
    <n v="0"/>
    <n v="0"/>
    <n v="0"/>
    <n v="0"/>
    <m/>
    <s v="2022-2023"/>
    <n v="23"/>
  </r>
  <r>
    <x v="36"/>
    <s v="wls"/>
    <s v="WAL"/>
    <s v="FW,MF"/>
    <x v="1"/>
    <n v="18"/>
    <n v="2003"/>
    <n v="19"/>
    <n v="15"/>
    <n v="1268"/>
    <x v="2"/>
    <n v="0"/>
    <n v="2"/>
    <n v="0"/>
    <n v="0"/>
    <n v="1"/>
    <n v="0"/>
    <m/>
    <s v="2022-2023"/>
    <n v="16"/>
  </r>
  <r>
    <x v="37"/>
    <s v="no"/>
    <s v="NOR"/>
    <s v="MF,FW"/>
    <x v="8"/>
    <n v="20"/>
    <n v="2001"/>
    <n v="22"/>
    <n v="16"/>
    <n v="1352"/>
    <x v="2"/>
    <n v="1"/>
    <n v="2"/>
    <n v="0"/>
    <n v="0"/>
    <n v="1"/>
    <n v="0"/>
    <m/>
    <s v="2022-2023"/>
    <n v="18"/>
  </r>
  <r>
    <x v="38"/>
    <s v="wls"/>
    <s v="WAL"/>
    <s v="MF"/>
    <x v="11"/>
    <n v="24"/>
    <n v="1997"/>
    <n v="19"/>
    <n v="17"/>
    <n v="1513"/>
    <x v="8"/>
    <n v="0"/>
    <n v="4"/>
    <n v="0"/>
    <n v="0"/>
    <n v="6"/>
    <n v="0"/>
    <m/>
    <s v="2022-2023"/>
    <n v="23"/>
  </r>
  <r>
    <x v="39"/>
    <s v="eng"/>
    <s v="ENG"/>
    <s v="FW,MF"/>
    <x v="6"/>
    <n v="26"/>
    <n v="1995"/>
    <n v="4"/>
    <n v="0"/>
    <n v="61"/>
    <x v="0"/>
    <n v="0"/>
    <n v="0"/>
    <n v="0"/>
    <n v="0"/>
    <n v="0"/>
    <n v="0"/>
    <m/>
    <s v="2022-2023"/>
    <n v="37"/>
  </r>
  <r>
    <x v="40"/>
    <s v="eng"/>
    <s v="ENG"/>
    <s v="FW,MF"/>
    <x v="7"/>
    <n v="24"/>
    <n v="1998"/>
    <n v="20"/>
    <n v="14"/>
    <n v="1310"/>
    <x v="8"/>
    <n v="2"/>
    <n v="4"/>
    <n v="0"/>
    <n v="0"/>
    <n v="1"/>
    <n v="0"/>
    <m/>
    <s v="2022-2023"/>
    <n v="11"/>
  </r>
  <r>
    <x v="41"/>
    <s v="eng"/>
    <s v="ENG"/>
    <s v="MF,DF"/>
    <x v="11"/>
    <n v="19"/>
    <n v="2003"/>
    <n v="4"/>
    <n v="1"/>
    <n v="132"/>
    <x v="0"/>
    <n v="0"/>
    <n v="0"/>
    <n v="0"/>
    <n v="0"/>
    <n v="1"/>
    <n v="0"/>
    <m/>
    <s v="2022-2023"/>
    <n v="23"/>
  </r>
  <r>
    <x v="42"/>
    <s v="eng"/>
    <s v="ENG"/>
    <s v="MF"/>
    <x v="10"/>
    <n v="17"/>
    <n v="2004"/>
    <n v="2"/>
    <n v="0"/>
    <n v="27"/>
    <x v="0"/>
    <n v="0"/>
    <n v="0"/>
    <n v="0"/>
    <n v="0"/>
    <n v="0"/>
    <n v="0"/>
    <m/>
    <s v="2022-2023"/>
    <n v="16"/>
  </r>
  <r>
    <x v="43"/>
    <s v="eng"/>
    <s v="ENG"/>
    <s v="FW,MF"/>
    <x v="8"/>
    <n v="29"/>
    <n v="1992"/>
    <n v="9"/>
    <n v="2"/>
    <n v="219"/>
    <x v="0"/>
    <n v="0"/>
    <n v="0"/>
    <n v="0"/>
    <n v="0"/>
    <n v="0"/>
    <n v="0"/>
    <m/>
    <s v="2022-2023"/>
    <n v="18"/>
  </r>
  <r>
    <x v="44"/>
    <s v="eng"/>
    <s v="ENG"/>
    <s v="FW"/>
    <x v="5"/>
    <n v="24"/>
    <n v="1998"/>
    <n v="22"/>
    <n v="21"/>
    <n v="1768"/>
    <x v="4"/>
    <n v="9"/>
    <n v="5"/>
    <n v="0"/>
    <n v="0"/>
    <n v="4"/>
    <n v="0"/>
    <m/>
    <s v="2022-2023"/>
    <n v="47"/>
  </r>
  <r>
    <x v="45"/>
    <s v="kr"/>
    <s v="KOR"/>
    <s v="MF"/>
    <x v="8"/>
    <n v="34"/>
    <n v="1988"/>
    <n v="9"/>
    <n v="4"/>
    <n v="317"/>
    <x v="0"/>
    <n v="2"/>
    <n v="0"/>
    <n v="0"/>
    <n v="0"/>
    <n v="0"/>
    <n v="0"/>
    <m/>
    <s v="2022-2023"/>
    <n v="18"/>
  </r>
  <r>
    <x v="46"/>
    <s v="nz"/>
    <s v="NZL"/>
    <s v="DF,MF"/>
    <x v="1"/>
    <n v="27"/>
    <n v="1995"/>
    <n v="19"/>
    <n v="13"/>
    <n v="1234"/>
    <x v="0"/>
    <n v="0"/>
    <n v="0"/>
    <n v="0"/>
    <n v="0"/>
    <n v="4"/>
    <n v="0"/>
    <m/>
    <s v="2022-2023"/>
    <n v="16"/>
  </r>
  <r>
    <x v="47"/>
    <s v="au"/>
    <s v="AUS"/>
    <s v="MF"/>
    <x v="2"/>
    <n v="24"/>
    <n v="1998"/>
    <n v="17"/>
    <n v="12"/>
    <n v="1157"/>
    <x v="0"/>
    <n v="1"/>
    <n v="0"/>
    <n v="0"/>
    <n v="0"/>
    <n v="0"/>
    <n v="0"/>
    <m/>
    <s v="2022-2023"/>
    <n v="30"/>
  </r>
  <r>
    <x v="48"/>
    <s v="eng"/>
    <s v="ENG"/>
    <s v="FW"/>
    <x v="0"/>
    <n v="26"/>
    <n v="1996"/>
    <n v="8"/>
    <n v="2"/>
    <n v="247"/>
    <x v="0"/>
    <n v="0"/>
    <n v="0"/>
    <n v="0"/>
    <n v="0"/>
    <n v="1"/>
    <n v="0"/>
    <m/>
    <s v="2022-2023"/>
    <n v="21"/>
  </r>
  <r>
    <x v="49"/>
    <s v="eng"/>
    <s v="ENG"/>
    <s v="MF,FW"/>
    <x v="1"/>
    <n v="23"/>
    <n v="1999"/>
    <n v="2"/>
    <n v="0"/>
    <n v="8"/>
    <x v="0"/>
    <n v="0"/>
    <n v="0"/>
    <n v="0"/>
    <n v="0"/>
    <n v="0"/>
    <n v="0"/>
    <m/>
    <s v="2022-2023"/>
    <n v="16"/>
  </r>
  <r>
    <x v="50"/>
    <s v="ie"/>
    <s v="IRL"/>
    <s v="GK"/>
    <x v="2"/>
    <n v="26"/>
    <n v="1995"/>
    <n v="14"/>
    <n v="14"/>
    <n v="1260"/>
    <x v="0"/>
    <n v="0"/>
    <n v="0"/>
    <n v="0"/>
    <n v="0"/>
    <n v="0"/>
    <n v="0"/>
    <m/>
    <s v="2022-2023"/>
    <n v="30"/>
  </r>
  <r>
    <x v="51"/>
    <s v="au"/>
    <s v="AUS"/>
    <s v="DF"/>
    <x v="1"/>
    <n v="20"/>
    <n v="2002"/>
    <n v="12"/>
    <n v="12"/>
    <n v="1070"/>
    <x v="0"/>
    <n v="4"/>
    <n v="0"/>
    <n v="0"/>
    <n v="0"/>
    <n v="1"/>
    <n v="0"/>
    <m/>
    <s v="2022-2023"/>
    <n v="16"/>
  </r>
  <r>
    <x v="52"/>
    <s v="is"/>
    <s v="ISL"/>
    <s v="MF"/>
    <x v="0"/>
    <n v="30"/>
    <n v="1991"/>
    <n v="21"/>
    <n v="20"/>
    <n v="1762"/>
    <x v="7"/>
    <n v="1"/>
    <n v="5"/>
    <n v="1"/>
    <n v="2"/>
    <n v="1"/>
    <n v="0"/>
    <m/>
    <s v="2022-2023"/>
    <n v="21"/>
  </r>
  <r>
    <x v="53"/>
    <s v="eng"/>
    <s v="ENG"/>
    <s v="FW,MF"/>
    <x v="10"/>
    <n v="29"/>
    <n v="1993"/>
    <n v="20"/>
    <n v="7"/>
    <n v="825"/>
    <x v="4"/>
    <n v="1"/>
    <n v="2"/>
    <n v="3"/>
    <n v="3"/>
    <n v="2"/>
    <n v="0"/>
    <m/>
    <s v="2022-2023"/>
    <n v="16"/>
  </r>
  <r>
    <x v="54"/>
    <s v="eng"/>
    <s v="ENG"/>
    <s v="DF"/>
    <x v="6"/>
    <n v="31"/>
    <n v="1991"/>
    <n v="22"/>
    <n v="22"/>
    <n v="1935"/>
    <x v="0"/>
    <n v="0"/>
    <n v="0"/>
    <n v="0"/>
    <n v="0"/>
    <n v="1"/>
    <n v="0"/>
    <m/>
    <s v="2022-2023"/>
    <n v="37"/>
  </r>
  <r>
    <x v="55"/>
    <s v="eng"/>
    <s v="ENG"/>
    <s v="DF"/>
    <x v="7"/>
    <n v="29"/>
    <n v="1993"/>
    <n v="14"/>
    <n v="11"/>
    <n v="1001"/>
    <x v="1"/>
    <n v="0"/>
    <n v="1"/>
    <n v="0"/>
    <n v="0"/>
    <n v="5"/>
    <n v="0"/>
    <m/>
    <s v="2022-2023"/>
    <n v="11"/>
  </r>
  <r>
    <x v="56"/>
    <s v="ca"/>
    <s v="CAN"/>
    <s v="FW"/>
    <x v="7"/>
    <n v="23"/>
    <n v="1999"/>
    <n v="3"/>
    <n v="2"/>
    <n v="87"/>
    <x v="0"/>
    <n v="0"/>
    <n v="0"/>
    <n v="0"/>
    <n v="0"/>
    <n v="0"/>
    <n v="0"/>
    <m/>
    <s v="2022-2023"/>
    <n v="11"/>
  </r>
  <r>
    <x v="57"/>
    <s v="rs"/>
    <s v="SRB"/>
    <s v="MF"/>
    <x v="10"/>
    <n v="25"/>
    <n v="1997"/>
    <n v="6"/>
    <n v="2"/>
    <n v="127"/>
    <x v="0"/>
    <n v="0"/>
    <n v="0"/>
    <n v="0"/>
    <n v="0"/>
    <n v="0"/>
    <n v="0"/>
    <m/>
    <s v="2022-2023"/>
    <n v="16"/>
  </r>
  <r>
    <x v="58"/>
    <s v="eng"/>
    <s v="ENG"/>
    <s v="GK"/>
    <x v="1"/>
    <n v="26"/>
    <n v="1996"/>
    <n v="2"/>
    <n v="2"/>
    <n v="180"/>
    <x v="0"/>
    <n v="0"/>
    <n v="0"/>
    <n v="0"/>
    <n v="0"/>
    <n v="0"/>
    <n v="0"/>
    <m/>
    <s v="2022-2023"/>
    <n v="16"/>
  </r>
  <r>
    <x v="59"/>
    <s v="eng"/>
    <s v="ENG"/>
    <s v="DF"/>
    <x v="5"/>
    <n v="30"/>
    <n v="1991"/>
    <n v="3"/>
    <n v="2"/>
    <n v="182"/>
    <x v="0"/>
    <n v="0"/>
    <n v="0"/>
    <n v="0"/>
    <n v="0"/>
    <n v="0"/>
    <n v="0"/>
    <m/>
    <s v="2022-2023"/>
    <n v="47"/>
  </r>
  <r>
    <x v="60"/>
    <s v="nir"/>
    <s v="NIR"/>
    <s v="DF"/>
    <x v="1"/>
    <n v="31"/>
    <n v="1991"/>
    <n v="3"/>
    <n v="1"/>
    <n v="124"/>
    <x v="0"/>
    <n v="0"/>
    <n v="0"/>
    <n v="0"/>
    <n v="0"/>
    <n v="0"/>
    <n v="0"/>
    <m/>
    <s v="2022-2023"/>
    <n v="16"/>
  </r>
  <r>
    <x v="61"/>
    <s v="ve"/>
    <s v="VEN"/>
    <s v="MF"/>
    <x v="5"/>
    <n v="23"/>
    <n v="1999"/>
    <n v="19"/>
    <n v="12"/>
    <n v="1079"/>
    <x v="1"/>
    <n v="1"/>
    <n v="1"/>
    <n v="0"/>
    <n v="0"/>
    <n v="1"/>
    <n v="0"/>
    <m/>
    <s v="2022-2023"/>
    <n v="47"/>
  </r>
  <r>
    <x v="62"/>
    <s v="ie"/>
    <s v="IRL"/>
    <s v="DF"/>
    <x v="7"/>
    <n v="33"/>
    <n v="1988"/>
    <n v="11"/>
    <n v="9"/>
    <n v="758"/>
    <x v="0"/>
    <n v="0"/>
    <n v="0"/>
    <n v="0"/>
    <n v="0"/>
    <n v="2"/>
    <n v="0"/>
    <m/>
    <s v="2022-2023"/>
    <n v="11"/>
  </r>
  <r>
    <x v="63"/>
    <s v="jm"/>
    <s v="JAM"/>
    <s v="MF,FW"/>
    <x v="8"/>
    <n v="29"/>
    <n v="1992"/>
    <n v="22"/>
    <n v="21"/>
    <n v="1769"/>
    <x v="5"/>
    <n v="2"/>
    <n v="3"/>
    <n v="0"/>
    <n v="0"/>
    <n v="5"/>
    <n v="0"/>
    <m/>
    <s v="2022-2023"/>
    <n v="18"/>
  </r>
  <r>
    <x v="64"/>
    <s v="sct"/>
    <s v="SCO"/>
    <s v="GK"/>
    <x v="11"/>
    <n v="23"/>
    <n v="1999"/>
    <n v="2"/>
    <n v="2"/>
    <n v="180"/>
    <x v="0"/>
    <n v="0"/>
    <n v="0"/>
    <n v="0"/>
    <n v="0"/>
    <n v="0"/>
    <n v="0"/>
    <m/>
    <s v="2022-2023"/>
    <n v="23"/>
  </r>
  <r>
    <x v="65"/>
    <s v="cm"/>
    <s v="CMR"/>
    <s v="DF,MF"/>
    <x v="7"/>
    <n v="25"/>
    <n v="1997"/>
    <n v="8"/>
    <n v="8"/>
    <n v="635"/>
    <x v="0"/>
    <n v="0"/>
    <n v="0"/>
    <n v="0"/>
    <n v="0"/>
    <n v="0"/>
    <n v="0"/>
    <m/>
    <s v="2022-2023"/>
    <n v="11"/>
  </r>
  <r>
    <x v="66"/>
    <s v="no"/>
    <s v="NOR"/>
    <s v="FW,MF"/>
    <x v="10"/>
    <n v="21"/>
    <n v="2001"/>
    <n v="17"/>
    <n v="16"/>
    <n v="1371"/>
    <x v="9"/>
    <n v="0"/>
    <n v="7"/>
    <n v="0"/>
    <n v="0"/>
    <n v="3"/>
    <n v="0"/>
    <m/>
    <s v="2022-2023"/>
    <n v="16"/>
  </r>
  <r>
    <x v="67"/>
    <s v="no"/>
    <s v="NOR"/>
    <s v="DF,FW"/>
    <x v="2"/>
    <n v="22"/>
    <n v="1999"/>
    <n v="20"/>
    <n v="7"/>
    <n v="688"/>
    <x v="0"/>
    <n v="2"/>
    <n v="0"/>
    <n v="0"/>
    <n v="0"/>
    <n v="0"/>
    <n v="0"/>
    <m/>
    <s v="2022-2023"/>
    <n v="30"/>
  </r>
  <r>
    <x v="68"/>
    <s v="eng"/>
    <s v="ENG"/>
    <s v="MF"/>
    <x v="3"/>
    <n v="22"/>
    <n v="1999"/>
    <n v="22"/>
    <n v="22"/>
    <n v="1776"/>
    <x v="5"/>
    <n v="8"/>
    <n v="3"/>
    <n v="0"/>
    <n v="0"/>
    <n v="2"/>
    <n v="1"/>
    <m/>
    <s v="2022-2023"/>
    <n v="56"/>
  </r>
  <r>
    <x v="69"/>
    <s v="eng"/>
    <s v="ENG"/>
    <s v="FW"/>
    <x v="8"/>
    <n v="23"/>
    <n v="1999"/>
    <n v="3"/>
    <n v="1"/>
    <n v="94"/>
    <x v="0"/>
    <n v="0"/>
    <n v="0"/>
    <n v="0"/>
    <n v="0"/>
    <n v="0"/>
    <n v="0"/>
    <m/>
    <s v="2022-2023"/>
    <n v="18"/>
  </r>
  <r>
    <x v="70"/>
    <s v="eng"/>
    <s v="ENG"/>
    <s v="GK"/>
    <x v="5"/>
    <n v="22"/>
    <n v="1999"/>
    <n v="17"/>
    <n v="17"/>
    <n v="1481"/>
    <x v="0"/>
    <n v="0"/>
    <n v="0"/>
    <n v="0"/>
    <n v="0"/>
    <n v="1"/>
    <n v="1"/>
    <m/>
    <s v="2022-2023"/>
    <n v="47"/>
  </r>
  <r>
    <x v="71"/>
    <s v="au"/>
    <s v="AUS"/>
    <s v="FW,MF"/>
    <x v="6"/>
    <n v="30"/>
    <n v="1992"/>
    <n v="9"/>
    <n v="0"/>
    <n v="176"/>
    <x v="1"/>
    <n v="0"/>
    <n v="1"/>
    <n v="0"/>
    <n v="0"/>
    <n v="0"/>
    <n v="0"/>
    <m/>
    <s v="2022-2023"/>
    <n v="37"/>
  </r>
  <r>
    <x v="72"/>
    <s v="eng"/>
    <s v="ENG"/>
    <s v="GK"/>
    <x v="2"/>
    <n v="21"/>
    <n v="2000"/>
    <n v="8"/>
    <n v="8"/>
    <n v="720"/>
    <x v="0"/>
    <n v="0"/>
    <n v="0"/>
    <n v="0"/>
    <n v="0"/>
    <n v="0"/>
    <n v="0"/>
    <m/>
    <s v="2022-2023"/>
    <n v="30"/>
  </r>
  <r>
    <x v="73"/>
    <s v="eng"/>
    <s v="ENG"/>
    <s v="FW,MF"/>
    <x v="7"/>
    <n v="20"/>
    <n v="2002"/>
    <n v="16"/>
    <n v="13"/>
    <n v="1110"/>
    <x v="2"/>
    <n v="1"/>
    <n v="2"/>
    <n v="0"/>
    <n v="0"/>
    <n v="1"/>
    <n v="0"/>
    <m/>
    <s v="2022-2023"/>
    <n v="11"/>
  </r>
  <r>
    <x v="74"/>
    <s v="fi"/>
    <s v="FIN"/>
    <s v="DF,MF"/>
    <x v="11"/>
    <n v="27"/>
    <n v="1994"/>
    <n v="21"/>
    <n v="21"/>
    <n v="1746"/>
    <x v="2"/>
    <n v="4"/>
    <n v="2"/>
    <n v="0"/>
    <n v="0"/>
    <n v="2"/>
    <n v="0"/>
    <m/>
    <s v="2022-2023"/>
    <n v="23"/>
  </r>
  <r>
    <x v="75"/>
    <s v="se"/>
    <s v="SWE"/>
    <s v="DF"/>
    <x v="10"/>
    <n v="30"/>
    <n v="1991"/>
    <n v="19"/>
    <n v="18"/>
    <n v="1536"/>
    <x v="0"/>
    <n v="0"/>
    <n v="0"/>
    <n v="0"/>
    <n v="0"/>
    <n v="2"/>
    <n v="1"/>
    <m/>
    <s v="2022-2023"/>
    <n v="16"/>
  </r>
  <r>
    <x v="76"/>
    <s v="sct"/>
    <s v="SCO"/>
    <s v="DF"/>
    <x v="7"/>
    <n v="29"/>
    <n v="1992"/>
    <n v="21"/>
    <n v="20"/>
    <n v="1780"/>
    <x v="0"/>
    <n v="2"/>
    <n v="0"/>
    <n v="0"/>
    <n v="0"/>
    <n v="0"/>
    <n v="0"/>
    <m/>
    <s v="2022-2023"/>
    <n v="11"/>
  </r>
  <r>
    <x v="77"/>
    <s v="dk"/>
    <s v="DEN"/>
    <s v="MF,FW"/>
    <x v="0"/>
    <n v="21"/>
    <n v="2001"/>
    <n v="12"/>
    <n v="8"/>
    <n v="764"/>
    <x v="2"/>
    <n v="0"/>
    <n v="2"/>
    <n v="0"/>
    <n v="0"/>
    <n v="1"/>
    <n v="0"/>
    <m/>
    <s v="2022-2023"/>
    <n v="21"/>
  </r>
  <r>
    <x v="78"/>
    <s v="sct"/>
    <s v="SCO"/>
    <s v="MF"/>
    <x v="4"/>
    <n v="24"/>
    <n v="1998"/>
    <n v="18"/>
    <n v="16"/>
    <n v="1369"/>
    <x v="4"/>
    <n v="3"/>
    <n v="5"/>
    <n v="0"/>
    <n v="0"/>
    <n v="1"/>
    <n v="0"/>
    <m/>
    <s v="2022-2023"/>
    <n v="58"/>
  </r>
  <r>
    <x v="79"/>
    <s v="us"/>
    <s v="USA"/>
    <s v="DF"/>
    <x v="1"/>
    <n v="27"/>
    <n v="1994"/>
    <n v="11"/>
    <n v="9"/>
    <n v="713"/>
    <x v="0"/>
    <n v="0"/>
    <n v="0"/>
    <n v="0"/>
    <n v="0"/>
    <n v="1"/>
    <n v="0"/>
    <m/>
    <s v="2022-2023"/>
    <n v="16"/>
  </r>
  <r>
    <x v="80"/>
    <s v="eng"/>
    <s v="ENG"/>
    <s v="DF"/>
    <x v="5"/>
    <n v="21"/>
    <n v="2000"/>
    <n v="17"/>
    <n v="15"/>
    <n v="1329"/>
    <x v="0"/>
    <n v="0"/>
    <n v="0"/>
    <n v="0"/>
    <n v="0"/>
    <n v="1"/>
    <n v="0"/>
    <m/>
    <s v="2022-2023"/>
    <n v="47"/>
  </r>
  <r>
    <x v="81"/>
    <s v="fr"/>
    <s v="FRA"/>
    <s v="MF"/>
    <x v="3"/>
    <n v="25"/>
    <n v="1997"/>
    <n v="1"/>
    <n v="0"/>
    <n v="20"/>
    <x v="0"/>
    <n v="0"/>
    <n v="0"/>
    <n v="0"/>
    <n v="0"/>
    <n v="0"/>
    <n v="0"/>
    <m/>
    <s v="2022-2023"/>
    <n v="56"/>
  </r>
  <r>
    <x v="82"/>
    <s v="fr"/>
    <s v="FRA"/>
    <s v="DF,MF"/>
    <x v="4"/>
    <n v="27"/>
    <n v="1994"/>
    <n v="18"/>
    <n v="13"/>
    <n v="1166"/>
    <x v="0"/>
    <n v="3"/>
    <n v="0"/>
    <n v="0"/>
    <n v="0"/>
    <n v="0"/>
    <n v="0"/>
    <m/>
    <s v="2022-2023"/>
    <n v="58"/>
  </r>
  <r>
    <x v="83"/>
    <s v="fi"/>
    <s v="FIN"/>
    <s v="MF,FW"/>
    <x v="8"/>
    <n v="24"/>
    <n v="1998"/>
    <n v="20"/>
    <n v="17"/>
    <n v="1507"/>
    <x v="5"/>
    <n v="3"/>
    <n v="3"/>
    <n v="0"/>
    <n v="0"/>
    <n v="5"/>
    <n v="0"/>
    <m/>
    <s v="2022-2023"/>
    <n v="18"/>
  </r>
  <r>
    <x v="84"/>
    <s v="eng"/>
    <s v="ENG"/>
    <s v="DF"/>
    <x v="6"/>
    <n v="17"/>
    <n v="2005"/>
    <n v="3"/>
    <n v="1"/>
    <n v="92"/>
    <x v="0"/>
    <n v="0"/>
    <n v="0"/>
    <n v="0"/>
    <n v="0"/>
    <n v="0"/>
    <n v="0"/>
    <m/>
    <s v="2022-2023"/>
    <n v="37"/>
  </r>
  <r>
    <x v="85"/>
    <s v="eng"/>
    <s v="ENG"/>
    <s v="DF,MF"/>
    <x v="7"/>
    <n v="25"/>
    <n v="1997"/>
    <n v="17"/>
    <n v="10"/>
    <n v="998"/>
    <x v="0"/>
    <n v="1"/>
    <n v="0"/>
    <n v="0"/>
    <n v="0"/>
    <n v="5"/>
    <n v="0"/>
    <m/>
    <s v="2022-2023"/>
    <n v="11"/>
  </r>
  <r>
    <x v="86"/>
    <s v="eng"/>
    <s v="ENG"/>
    <s v="GK"/>
    <x v="11"/>
    <n v="22"/>
    <n v="2000"/>
    <n v="3"/>
    <n v="3"/>
    <n v="270"/>
    <x v="0"/>
    <n v="0"/>
    <n v="0"/>
    <n v="0"/>
    <n v="0"/>
    <n v="1"/>
    <n v="0"/>
    <m/>
    <s v="2022-2023"/>
    <n v="23"/>
  </r>
  <r>
    <x v="87"/>
    <s v="se"/>
    <s v="SWE"/>
    <s v="MF"/>
    <x v="5"/>
    <n v="25"/>
    <n v="1997"/>
    <n v="16"/>
    <n v="12"/>
    <n v="1098"/>
    <x v="2"/>
    <n v="1"/>
    <n v="2"/>
    <n v="0"/>
    <n v="0"/>
    <n v="1"/>
    <n v="0"/>
    <m/>
    <s v="2022-2023"/>
    <n v="47"/>
  </r>
  <r>
    <x v="88"/>
    <s v="eng"/>
    <s v="ENG"/>
    <s v="MF,DF"/>
    <x v="4"/>
    <n v="29"/>
    <n v="1993"/>
    <n v="8"/>
    <n v="5"/>
    <n v="505"/>
    <x v="7"/>
    <n v="1"/>
    <n v="5"/>
    <n v="1"/>
    <n v="1"/>
    <n v="0"/>
    <n v="0"/>
    <m/>
    <s v="2022-2023"/>
    <n v="58"/>
  </r>
  <r>
    <x v="89"/>
    <s v="eng"/>
    <s v="ENG"/>
    <s v="FW,MF"/>
    <x v="9"/>
    <n v="17"/>
    <n v="2005"/>
    <n v="2"/>
    <n v="0"/>
    <n v="3"/>
    <x v="0"/>
    <n v="0"/>
    <n v="0"/>
    <n v="0"/>
    <n v="0"/>
    <n v="0"/>
    <n v="0"/>
    <m/>
    <s v="2022-2023"/>
    <n v="47"/>
  </r>
  <r>
    <x v="90"/>
    <s v="eng"/>
    <s v="ENG"/>
    <s v="FW"/>
    <x v="6"/>
    <n v="19"/>
    <n v="2003"/>
    <n v="7"/>
    <n v="1"/>
    <n v="183"/>
    <x v="0"/>
    <n v="0"/>
    <n v="0"/>
    <n v="0"/>
    <n v="0"/>
    <n v="0"/>
    <n v="0"/>
    <m/>
    <s v="2022-2023"/>
    <n v="37"/>
  </r>
  <r>
    <x v="91"/>
    <s v="no"/>
    <s v="NOR"/>
    <s v="MF"/>
    <x v="9"/>
    <n v="23"/>
    <n v="1999"/>
    <n v="22"/>
    <n v="19"/>
    <n v="1712"/>
    <x v="10"/>
    <n v="4"/>
    <n v="9"/>
    <n v="0"/>
    <n v="0"/>
    <n v="1"/>
    <n v="0"/>
    <m/>
    <s v="2022-2023"/>
    <n v="47"/>
  </r>
  <r>
    <x v="92"/>
    <s v="jp"/>
    <s v="JPN"/>
    <s v="MF"/>
    <x v="11"/>
    <n v="23"/>
    <n v="1999"/>
    <n v="11"/>
    <n v="11"/>
    <n v="990"/>
    <x v="0"/>
    <n v="0"/>
    <n v="0"/>
    <n v="0"/>
    <n v="0"/>
    <n v="0"/>
    <n v="0"/>
    <m/>
    <s v="2022-2023"/>
    <n v="23"/>
  </r>
  <r>
    <x v="93"/>
    <s v="eng"/>
    <s v="ENG"/>
    <s v="DF,MF"/>
    <x v="2"/>
    <n v="25"/>
    <n v="1997"/>
    <n v="16"/>
    <n v="16"/>
    <n v="1322"/>
    <x v="2"/>
    <n v="2"/>
    <n v="2"/>
    <n v="0"/>
    <n v="0"/>
    <n v="4"/>
    <n v="0"/>
    <m/>
    <s v="2022-2023"/>
    <n v="30"/>
  </r>
  <r>
    <x v="94"/>
    <s v="eng"/>
    <s v="ENG"/>
    <s v="DF"/>
    <x v="11"/>
    <n v="31"/>
    <n v="1991"/>
    <n v="12"/>
    <n v="10"/>
    <n v="976"/>
    <x v="0"/>
    <n v="1"/>
    <n v="0"/>
    <n v="0"/>
    <n v="0"/>
    <n v="1"/>
    <n v="0"/>
    <m/>
    <s v="2022-2023"/>
    <n v="23"/>
  </r>
  <r>
    <x v="95"/>
    <s v="wls"/>
    <s v="WAL"/>
    <s v="DF"/>
    <x v="7"/>
    <n v="25"/>
    <n v="1996"/>
    <n v="19"/>
    <n v="17"/>
    <n v="1510"/>
    <x v="0"/>
    <n v="1"/>
    <n v="0"/>
    <n v="0"/>
    <n v="0"/>
    <n v="1"/>
    <n v="0"/>
    <m/>
    <s v="2022-2023"/>
    <n v="11"/>
  </r>
  <r>
    <x v="96"/>
    <s v="eng"/>
    <s v="ENG"/>
    <s v="DF"/>
    <x v="1"/>
    <n v="26"/>
    <n v="1996"/>
    <n v="1"/>
    <n v="1"/>
    <n v="90"/>
    <x v="0"/>
    <n v="0"/>
    <n v="0"/>
    <n v="0"/>
    <n v="0"/>
    <n v="0"/>
    <n v="0"/>
    <m/>
    <s v="2022-2023"/>
    <n v="16"/>
  </r>
  <r>
    <x v="97"/>
    <s v="eng"/>
    <s v="ENG"/>
    <s v="DF,MF"/>
    <x v="1"/>
    <n v="22"/>
    <n v="2000"/>
    <n v="5"/>
    <n v="3"/>
    <n v="272"/>
    <x v="0"/>
    <n v="0"/>
    <n v="0"/>
    <n v="0"/>
    <n v="0"/>
    <n v="0"/>
    <n v="0"/>
    <m/>
    <s v="2022-2023"/>
    <n v="16"/>
  </r>
  <r>
    <x v="98"/>
    <m/>
    <m/>
    <s v="MF"/>
    <x v="6"/>
    <m/>
    <m/>
    <n v="2"/>
    <n v="0"/>
    <n v="7"/>
    <x v="0"/>
    <n v="0"/>
    <n v="0"/>
    <n v="0"/>
    <n v="0"/>
    <n v="0"/>
    <n v="0"/>
    <m/>
    <s v="2022-2023"/>
    <n v="37"/>
  </r>
  <r>
    <x v="99"/>
    <s v="eng"/>
    <s v="ENG"/>
    <s v="DF"/>
    <x v="11"/>
    <n v="30"/>
    <n v="1991"/>
    <n v="8"/>
    <n v="8"/>
    <n v="720"/>
    <x v="0"/>
    <n v="0"/>
    <n v="0"/>
    <n v="0"/>
    <n v="0"/>
    <n v="2"/>
    <n v="0"/>
    <m/>
    <s v="2022-2023"/>
    <n v="23"/>
  </r>
  <r>
    <x v="100"/>
    <s v="br"/>
    <s v="BRA"/>
    <s v="FW,MF"/>
    <x v="9"/>
    <n v="19"/>
    <n v="2003"/>
    <n v="11"/>
    <n v="0"/>
    <n v="204"/>
    <x v="0"/>
    <n v="0"/>
    <n v="0"/>
    <n v="0"/>
    <n v="0"/>
    <n v="2"/>
    <n v="0"/>
    <m/>
    <s v="2022-2023"/>
    <n v="47"/>
  </r>
  <r>
    <x v="100"/>
    <s v="br"/>
    <s v="BRA"/>
    <s v="FW,MF"/>
    <x v="2"/>
    <n v="19"/>
    <n v="2003"/>
    <n v="7"/>
    <n v="0"/>
    <n v="135"/>
    <x v="1"/>
    <n v="0"/>
    <n v="1"/>
    <n v="0"/>
    <n v="0"/>
    <n v="0"/>
    <n v="0"/>
    <m/>
    <s v="2022-2023"/>
    <n v="30"/>
  </r>
  <r>
    <x v="101"/>
    <s v="eng"/>
    <s v="ENG"/>
    <s v="DF"/>
    <x v="0"/>
    <n v="24"/>
    <n v="1998"/>
    <n v="21"/>
    <n v="20"/>
    <n v="1809"/>
    <x v="0"/>
    <n v="0"/>
    <n v="0"/>
    <n v="0"/>
    <n v="0"/>
    <n v="2"/>
    <n v="0"/>
    <m/>
    <s v="2022-2023"/>
    <n v="21"/>
  </r>
  <r>
    <x v="102"/>
    <s v="ie"/>
    <s v="IRL"/>
    <s v="GK"/>
    <x v="7"/>
    <n v="29"/>
    <n v="1993"/>
    <n v="13"/>
    <n v="12"/>
    <n v="1101"/>
    <x v="0"/>
    <n v="0"/>
    <n v="0"/>
    <n v="0"/>
    <n v="0"/>
    <n v="1"/>
    <n v="0"/>
    <m/>
    <s v="2022-2023"/>
    <n v="11"/>
  </r>
  <r>
    <x v="103"/>
    <s v="eng"/>
    <s v="ENG"/>
    <s v="DF,MF"/>
    <x v="8"/>
    <n v="19"/>
    <n v="2002"/>
    <n v="1"/>
    <n v="0"/>
    <n v="20"/>
    <x v="0"/>
    <n v="0"/>
    <n v="0"/>
    <n v="0"/>
    <n v="0"/>
    <n v="0"/>
    <n v="0"/>
    <m/>
    <s v="2022-2023"/>
    <n v="18"/>
  </r>
  <r>
    <x v="104"/>
    <s v="no"/>
    <s v="NOR"/>
    <s v="DF"/>
    <x v="10"/>
    <n v="28"/>
    <n v="1994"/>
    <n v="10"/>
    <n v="9"/>
    <n v="741"/>
    <x v="0"/>
    <n v="1"/>
    <n v="0"/>
    <n v="0"/>
    <n v="0"/>
    <n v="0"/>
    <n v="0"/>
    <m/>
    <s v="2022-2023"/>
    <n v="16"/>
  </r>
  <r>
    <x v="105"/>
    <s v="no"/>
    <s v="NOR"/>
    <s v="FW,MF"/>
    <x v="4"/>
    <n v="28"/>
    <n v="1994"/>
    <n v="21"/>
    <n v="18"/>
    <n v="1460"/>
    <x v="10"/>
    <n v="11"/>
    <n v="7"/>
    <n v="2"/>
    <n v="2"/>
    <n v="0"/>
    <n v="0"/>
    <m/>
    <s v="2022-2023"/>
    <n v="58"/>
  </r>
  <r>
    <x v="106"/>
    <s v="eng"/>
    <s v="ENG"/>
    <s v="MF"/>
    <x v="0"/>
    <n v="17"/>
    <n v="2004"/>
    <n v="5"/>
    <n v="0"/>
    <n v="46"/>
    <x v="0"/>
    <n v="0"/>
    <n v="0"/>
    <n v="0"/>
    <n v="0"/>
    <n v="0"/>
    <n v="0"/>
    <m/>
    <s v="2022-2023"/>
    <n v="21"/>
  </r>
  <r>
    <x v="107"/>
    <s v="se"/>
    <s v="SWE"/>
    <s v="MF,FW"/>
    <x v="2"/>
    <n v="19"/>
    <n v="2002"/>
    <n v="21"/>
    <n v="14"/>
    <n v="1259"/>
    <x v="5"/>
    <n v="0"/>
    <n v="3"/>
    <n v="0"/>
    <n v="0"/>
    <n v="0"/>
    <n v="0"/>
    <m/>
    <s v="2022-2023"/>
    <n v="30"/>
  </r>
  <r>
    <x v="108"/>
    <s v="eng"/>
    <s v="ENG"/>
    <s v="DF"/>
    <x v="3"/>
    <n v="28"/>
    <n v="1994"/>
    <n v="22"/>
    <n v="22"/>
    <n v="1842"/>
    <x v="1"/>
    <n v="2"/>
    <n v="1"/>
    <n v="0"/>
    <n v="0"/>
    <n v="3"/>
    <n v="0"/>
    <m/>
    <s v="2022-2023"/>
    <n v="56"/>
  </r>
  <r>
    <x v="109"/>
    <s v="wls"/>
    <s v="WAL"/>
    <s v="FW"/>
    <x v="1"/>
    <n v="23"/>
    <n v="1999"/>
    <n v="14"/>
    <n v="13"/>
    <n v="1058"/>
    <x v="2"/>
    <n v="2"/>
    <n v="1"/>
    <n v="1"/>
    <n v="1"/>
    <n v="1"/>
    <n v="0"/>
    <m/>
    <s v="2022-2023"/>
    <n v="16"/>
  </r>
  <r>
    <x v="110"/>
    <s v="eng"/>
    <s v="ENG"/>
    <s v="GK"/>
    <x v="6"/>
    <n v="21"/>
    <n v="2000"/>
    <n v="15"/>
    <n v="15"/>
    <n v="1350"/>
    <x v="0"/>
    <n v="0"/>
    <n v="0"/>
    <n v="0"/>
    <n v="0"/>
    <n v="1"/>
    <n v="0"/>
    <m/>
    <s v="2022-2023"/>
    <n v="37"/>
  </r>
  <r>
    <x v="111"/>
    <s v="eng"/>
    <s v="ENG"/>
    <s v="DF"/>
    <x v="11"/>
    <n v="17"/>
    <n v="2004"/>
    <n v="1"/>
    <n v="1"/>
    <n v="45"/>
    <x v="0"/>
    <n v="0"/>
    <n v="0"/>
    <n v="0"/>
    <n v="0"/>
    <n v="0"/>
    <n v="0"/>
    <m/>
    <s v="2022-2023"/>
    <n v="23"/>
  </r>
  <r>
    <x v="112"/>
    <s v="fr"/>
    <s v="FRA"/>
    <s v="DF"/>
    <x v="0"/>
    <n v="25"/>
    <n v="1997"/>
    <n v="16"/>
    <n v="14"/>
    <n v="1290"/>
    <x v="1"/>
    <n v="0"/>
    <n v="1"/>
    <n v="0"/>
    <n v="0"/>
    <n v="3"/>
    <n v="1"/>
    <m/>
    <s v="2022-2023"/>
    <n v="21"/>
  </r>
  <r>
    <x v="113"/>
    <s v="wls"/>
    <s v="WAL"/>
    <s v="MF"/>
    <x v="3"/>
    <n v="28"/>
    <n v="1993"/>
    <n v="21"/>
    <n v="19"/>
    <n v="1699"/>
    <x v="8"/>
    <n v="2"/>
    <n v="4"/>
    <n v="0"/>
    <n v="0"/>
    <n v="2"/>
    <n v="0"/>
    <m/>
    <s v="2022-2023"/>
    <n v="56"/>
  </r>
  <r>
    <x v="114"/>
    <s v="au"/>
    <s v="AUS"/>
    <s v="FW,DF"/>
    <x v="5"/>
    <n v="27"/>
    <n v="1994"/>
    <n v="16"/>
    <n v="1"/>
    <n v="316"/>
    <x v="1"/>
    <n v="0"/>
    <n v="1"/>
    <n v="0"/>
    <n v="0"/>
    <n v="1"/>
    <n v="0"/>
    <m/>
    <s v="2022-2023"/>
    <n v="47"/>
  </r>
  <r>
    <x v="115"/>
    <s v="jp"/>
    <s v="JPN"/>
    <s v="MF,FW"/>
    <x v="0"/>
    <n v="24"/>
    <n v="1998"/>
    <n v="21"/>
    <n v="19"/>
    <n v="1511"/>
    <x v="1"/>
    <n v="0"/>
    <n v="1"/>
    <n v="0"/>
    <n v="0"/>
    <n v="1"/>
    <n v="0"/>
    <m/>
    <s v="2022-2023"/>
    <n v="21"/>
  </r>
  <r>
    <x v="116"/>
    <s v="eng"/>
    <s v="ENG"/>
    <s v="FW"/>
    <x v="6"/>
    <n v="19"/>
    <n v="2002"/>
    <n v="3"/>
    <n v="0"/>
    <n v="7"/>
    <x v="0"/>
    <n v="0"/>
    <n v="0"/>
    <n v="0"/>
    <n v="0"/>
    <n v="0"/>
    <n v="0"/>
    <m/>
    <s v="2022-2023"/>
    <n v="37"/>
  </r>
  <r>
    <x v="117"/>
    <s v="ie"/>
    <s v="IRL"/>
    <s v="FW,MF"/>
    <x v="0"/>
    <n v="21"/>
    <n v="2001"/>
    <n v="16"/>
    <n v="2"/>
    <n v="389"/>
    <x v="1"/>
    <n v="1"/>
    <n v="1"/>
    <n v="0"/>
    <n v="0"/>
    <n v="0"/>
    <n v="0"/>
    <m/>
    <s v="2022-2023"/>
    <n v="21"/>
  </r>
  <r>
    <x v="118"/>
    <s v="eng"/>
    <s v="ENG"/>
    <s v="MF,FW"/>
    <x v="2"/>
    <n v="30"/>
    <n v="1991"/>
    <n v="20"/>
    <n v="5"/>
    <n v="582"/>
    <x v="0"/>
    <n v="1"/>
    <n v="0"/>
    <n v="0"/>
    <n v="0"/>
    <n v="0"/>
    <n v="0"/>
    <m/>
    <s v="2022-2023"/>
    <n v="30"/>
  </r>
  <r>
    <x v="119"/>
    <s v="nir"/>
    <s v="NIR"/>
    <s v="GK"/>
    <x v="7"/>
    <n v="25"/>
    <n v="1997"/>
    <n v="10"/>
    <n v="10"/>
    <n v="874"/>
    <x v="0"/>
    <n v="0"/>
    <n v="0"/>
    <n v="0"/>
    <n v="0"/>
    <n v="0"/>
    <n v="1"/>
    <m/>
    <s v="2022-2023"/>
    <n v="11"/>
  </r>
  <r>
    <x v="120"/>
    <s v="eng"/>
    <s v="ENG"/>
    <s v="MF,DF"/>
    <x v="3"/>
    <n v="31"/>
    <n v="1990"/>
    <n v="3"/>
    <n v="0"/>
    <n v="31"/>
    <x v="0"/>
    <n v="0"/>
    <n v="0"/>
    <n v="0"/>
    <n v="0"/>
    <n v="0"/>
    <n v="0"/>
    <m/>
    <s v="2022-2023"/>
    <n v="56"/>
  </r>
  <r>
    <x v="120"/>
    <s v="eng"/>
    <s v="ENG"/>
    <s v="MF"/>
    <x v="7"/>
    <n v="31"/>
    <n v="1990"/>
    <n v="9"/>
    <n v="7"/>
    <n v="645"/>
    <x v="0"/>
    <n v="0"/>
    <n v="0"/>
    <n v="0"/>
    <n v="0"/>
    <n v="2"/>
    <n v="0"/>
    <m/>
    <s v="2022-2023"/>
    <n v="11"/>
  </r>
  <r>
    <x v="121"/>
    <s v="de"/>
    <s v="GER"/>
    <s v="GK"/>
    <x v="1"/>
    <n v="23"/>
    <n v="1999"/>
    <n v="13"/>
    <n v="13"/>
    <n v="1170"/>
    <x v="0"/>
    <n v="0"/>
    <n v="0"/>
    <n v="0"/>
    <n v="0"/>
    <n v="0"/>
    <n v="0"/>
    <m/>
    <s v="2022-2023"/>
    <n v="16"/>
  </r>
  <r>
    <x v="122"/>
    <s v="eng"/>
    <s v="ENG"/>
    <s v="DF,MF"/>
    <x v="11"/>
    <n v="29"/>
    <n v="1993"/>
    <n v="20"/>
    <n v="18"/>
    <n v="1639"/>
    <x v="0"/>
    <n v="0"/>
    <n v="0"/>
    <n v="0"/>
    <n v="0"/>
    <n v="1"/>
    <n v="0"/>
    <m/>
    <s v="2022-2023"/>
    <n v="23"/>
  </r>
  <r>
    <x v="123"/>
    <s v="ca"/>
    <s v="CAN"/>
    <s v="DF"/>
    <x v="3"/>
    <n v="21"/>
    <n v="2001"/>
    <n v="1"/>
    <n v="0"/>
    <n v="5"/>
    <x v="0"/>
    <n v="0"/>
    <n v="0"/>
    <n v="0"/>
    <n v="0"/>
    <n v="0"/>
    <n v="0"/>
    <m/>
    <s v="2022-2023"/>
    <n v="56"/>
  </r>
  <r>
    <x v="124"/>
    <s v="rs"/>
    <s v="SRB"/>
    <s v="MF"/>
    <x v="4"/>
    <n v="26"/>
    <n v="1995"/>
    <n v="14"/>
    <n v="6"/>
    <n v="634"/>
    <x v="8"/>
    <n v="2"/>
    <n v="4"/>
    <n v="0"/>
    <n v="0"/>
    <n v="0"/>
    <n v="0"/>
    <m/>
    <s v="2022-2023"/>
    <n v="58"/>
  </r>
  <r>
    <x v="125"/>
    <s v="eng"/>
    <s v="ENG"/>
    <s v="MF"/>
    <x v="5"/>
    <m/>
    <m/>
    <n v="1"/>
    <n v="0"/>
    <n v="7"/>
    <x v="0"/>
    <n v="0"/>
    <n v="0"/>
    <n v="0"/>
    <n v="0"/>
    <n v="0"/>
    <n v="0"/>
    <m/>
    <s v="2022-2023"/>
    <n v="47"/>
  </r>
  <r>
    <x v="126"/>
    <s v="eng"/>
    <s v="ENG"/>
    <s v="DF,MF"/>
    <x v="1"/>
    <n v="25"/>
    <n v="1997"/>
    <n v="15"/>
    <n v="11"/>
    <n v="978"/>
    <x v="0"/>
    <n v="0"/>
    <n v="0"/>
    <n v="0"/>
    <n v="0"/>
    <n v="0"/>
    <n v="0"/>
    <m/>
    <s v="2022-2023"/>
    <n v="16"/>
  </r>
  <r>
    <x v="127"/>
    <s v="sct"/>
    <s v="SCO"/>
    <s v="DF"/>
    <x v="9"/>
    <n v="31"/>
    <n v="1991"/>
    <n v="13"/>
    <n v="6"/>
    <n v="589"/>
    <x v="0"/>
    <n v="0"/>
    <n v="0"/>
    <n v="0"/>
    <n v="0"/>
    <n v="0"/>
    <n v="0"/>
    <m/>
    <s v="2022-2023"/>
    <n v="47"/>
  </r>
  <r>
    <x v="128"/>
    <s v="eng"/>
    <s v="ENG"/>
    <s v="DF"/>
    <x v="4"/>
    <n v="24"/>
    <n v="1997"/>
    <n v="17"/>
    <n v="9"/>
    <n v="927"/>
    <x v="2"/>
    <n v="1"/>
    <n v="2"/>
    <n v="0"/>
    <n v="0"/>
    <n v="0"/>
    <n v="0"/>
    <m/>
    <s v="2022-2023"/>
    <n v="58"/>
  </r>
  <r>
    <x v="129"/>
    <m/>
    <m/>
    <s v="DF"/>
    <x v="1"/>
    <m/>
    <m/>
    <n v="1"/>
    <n v="1"/>
    <n v="45"/>
    <x v="0"/>
    <n v="0"/>
    <n v="0"/>
    <n v="0"/>
    <n v="0"/>
    <n v="0"/>
    <n v="0"/>
    <m/>
    <s v="2022-2023"/>
    <n v="16"/>
  </r>
  <r>
    <x v="130"/>
    <s v="eng"/>
    <s v="ENG"/>
    <s v="FW,MF"/>
    <x v="8"/>
    <n v="21"/>
    <n v="2000"/>
    <n v="15"/>
    <n v="5"/>
    <n v="632"/>
    <x v="2"/>
    <n v="0"/>
    <n v="2"/>
    <n v="0"/>
    <n v="0"/>
    <n v="2"/>
    <n v="0"/>
    <m/>
    <s v="2022-2023"/>
    <n v="18"/>
  </r>
  <r>
    <x v="131"/>
    <s v="eng"/>
    <s v="ENG"/>
    <s v="FW,MF"/>
    <x v="2"/>
    <n v="20"/>
    <n v="2001"/>
    <n v="17"/>
    <n v="16"/>
    <n v="1393"/>
    <x v="5"/>
    <n v="4"/>
    <n v="3"/>
    <n v="0"/>
    <n v="0"/>
    <n v="0"/>
    <n v="0"/>
    <m/>
    <s v="2022-2023"/>
    <n v="30"/>
  </r>
  <r>
    <x v="132"/>
    <s v="eng"/>
    <s v="ENG"/>
    <s v="MF"/>
    <x v="1"/>
    <n v="27"/>
    <n v="1994"/>
    <n v="1"/>
    <n v="0"/>
    <n v="9"/>
    <x v="0"/>
    <n v="0"/>
    <n v="0"/>
    <n v="0"/>
    <n v="0"/>
    <n v="0"/>
    <n v="0"/>
    <m/>
    <s v="2022-2023"/>
    <n v="16"/>
  </r>
  <r>
    <x v="133"/>
    <s v="ie"/>
    <s v="IRL"/>
    <s v="MF,DF"/>
    <x v="0"/>
    <n v="20"/>
    <n v="2002"/>
    <n v="3"/>
    <n v="2"/>
    <n v="169"/>
    <x v="0"/>
    <n v="1"/>
    <n v="0"/>
    <n v="0"/>
    <n v="0"/>
    <n v="1"/>
    <n v="0"/>
    <m/>
    <s v="2022-2023"/>
    <n v="21"/>
  </r>
  <r>
    <x v="134"/>
    <s v="ca"/>
    <s v="CAN"/>
    <s v="MF,FW"/>
    <x v="4"/>
    <n v="24"/>
    <n v="1998"/>
    <n v="20"/>
    <n v="14"/>
    <n v="1205"/>
    <x v="5"/>
    <n v="1"/>
    <n v="3"/>
    <n v="0"/>
    <n v="0"/>
    <n v="1"/>
    <n v="0"/>
    <m/>
    <s v="2022-2023"/>
    <n v="58"/>
  </r>
  <r>
    <x v="135"/>
    <s v="eng"/>
    <s v="ENG"/>
    <s v="MF,FW"/>
    <x v="9"/>
    <n v="36"/>
    <n v="1986"/>
    <n v="8"/>
    <n v="2"/>
    <n v="315"/>
    <x v="0"/>
    <n v="1"/>
    <n v="0"/>
    <n v="0"/>
    <n v="0"/>
    <n v="1"/>
    <n v="0"/>
    <m/>
    <s v="2022-2023"/>
    <n v="47"/>
  </r>
  <r>
    <x v="136"/>
    <s v="se"/>
    <s v="SWE"/>
    <s v="FW,MF"/>
    <x v="4"/>
    <n v="25"/>
    <n v="1997"/>
    <n v="20"/>
    <n v="7"/>
    <n v="880"/>
    <x v="1"/>
    <n v="3"/>
    <n v="1"/>
    <n v="0"/>
    <n v="0"/>
    <n v="0"/>
    <n v="0"/>
    <m/>
    <s v="2022-2023"/>
    <n v="58"/>
  </r>
  <r>
    <x v="137"/>
    <s v="eng"/>
    <s v="ENG"/>
    <s v="MF,FW"/>
    <x v="9"/>
    <n v="29"/>
    <n v="1992"/>
    <n v="9"/>
    <n v="2"/>
    <n v="296"/>
    <x v="2"/>
    <n v="0"/>
    <n v="2"/>
    <n v="0"/>
    <n v="0"/>
    <n v="0"/>
    <n v="0"/>
    <m/>
    <s v="2022-2023"/>
    <n v="47"/>
  </r>
  <r>
    <x v="137"/>
    <s v="eng"/>
    <s v="ENG"/>
    <s v="MF,FW"/>
    <x v="6"/>
    <n v="29"/>
    <n v="1992"/>
    <n v="11"/>
    <n v="11"/>
    <n v="850"/>
    <x v="8"/>
    <n v="0"/>
    <n v="4"/>
    <n v="0"/>
    <n v="0"/>
    <n v="2"/>
    <n v="0"/>
    <m/>
    <s v="2022-2023"/>
    <n v="37"/>
  </r>
  <r>
    <x v="138"/>
    <s v="eng"/>
    <s v="ENG"/>
    <s v="DF"/>
    <x v="10"/>
    <n v="18"/>
    <n v="2003"/>
    <n v="16"/>
    <n v="12"/>
    <n v="1088"/>
    <x v="1"/>
    <n v="0"/>
    <n v="1"/>
    <n v="0"/>
    <n v="0"/>
    <n v="0"/>
    <n v="0"/>
    <m/>
    <s v="2022-2023"/>
    <n v="16"/>
  </r>
  <r>
    <x v="139"/>
    <s v="wls"/>
    <s v="WAL"/>
    <s v="MF"/>
    <x v="1"/>
    <n v="29"/>
    <n v="1993"/>
    <n v="15"/>
    <n v="12"/>
    <n v="978"/>
    <x v="1"/>
    <n v="1"/>
    <n v="1"/>
    <n v="0"/>
    <n v="0"/>
    <n v="1"/>
    <n v="0"/>
    <m/>
    <s v="2022-2023"/>
    <n v="16"/>
  </r>
  <r>
    <x v="140"/>
    <s v="se"/>
    <s v="SWE"/>
    <s v="MF"/>
    <x v="10"/>
    <n v="24"/>
    <n v="1997"/>
    <n v="20"/>
    <n v="19"/>
    <n v="1670"/>
    <x v="2"/>
    <n v="1"/>
    <n v="2"/>
    <n v="0"/>
    <n v="0"/>
    <n v="4"/>
    <n v="0"/>
    <m/>
    <s v="2022-2023"/>
    <n v="16"/>
  </r>
  <r>
    <x v="141"/>
    <s v="no"/>
    <s v="NOR"/>
    <s v="FW"/>
    <x v="5"/>
    <n v="20"/>
    <n v="2001"/>
    <n v="9"/>
    <n v="2"/>
    <n v="237"/>
    <x v="2"/>
    <n v="1"/>
    <n v="2"/>
    <n v="0"/>
    <n v="0"/>
    <n v="0"/>
    <n v="0"/>
    <m/>
    <s v="2022-2023"/>
    <n v="47"/>
  </r>
  <r>
    <x v="142"/>
    <s v="be"/>
    <s v="BEL"/>
    <s v="MF"/>
    <x v="7"/>
    <n v="30"/>
    <n v="1992"/>
    <n v="20"/>
    <n v="18"/>
    <n v="1510"/>
    <x v="8"/>
    <n v="0"/>
    <n v="3"/>
    <n v="1"/>
    <n v="1"/>
    <n v="2"/>
    <n v="0"/>
    <m/>
    <s v="2022-2023"/>
    <n v="11"/>
  </r>
  <r>
    <x v="143"/>
    <s v="ca"/>
    <s v="CAN"/>
    <s v="DF"/>
    <x v="4"/>
    <n v="26"/>
    <n v="1995"/>
    <n v="16"/>
    <n v="14"/>
    <n v="1269"/>
    <x v="0"/>
    <n v="0"/>
    <n v="0"/>
    <n v="0"/>
    <n v="0"/>
    <n v="2"/>
    <n v="0"/>
    <m/>
    <s v="2022-2023"/>
    <n v="58"/>
  </r>
  <r>
    <x v="144"/>
    <s v="dk"/>
    <s v="DEN"/>
    <s v="MF,DF"/>
    <x v="2"/>
    <n v="23"/>
    <n v="1999"/>
    <n v="19"/>
    <n v="15"/>
    <n v="1231"/>
    <x v="1"/>
    <n v="2"/>
    <n v="1"/>
    <n v="0"/>
    <n v="0"/>
    <n v="1"/>
    <n v="0"/>
    <m/>
    <s v="2022-2023"/>
    <n v="30"/>
  </r>
  <r>
    <x v="145"/>
    <s v="eng"/>
    <s v="ENG"/>
    <s v="MF,DF"/>
    <x v="0"/>
    <n v="33"/>
    <n v="1989"/>
    <n v="21"/>
    <n v="15"/>
    <n v="1371"/>
    <x v="0"/>
    <n v="0"/>
    <n v="0"/>
    <n v="0"/>
    <n v="0"/>
    <n v="3"/>
    <n v="0"/>
    <m/>
    <s v="2022-2023"/>
    <n v="21"/>
  </r>
  <r>
    <x v="146"/>
    <s v="cz"/>
    <s v="CZE"/>
    <s v="FW,MF"/>
    <x v="4"/>
    <n v="26"/>
    <n v="1996"/>
    <n v="3"/>
    <n v="1"/>
    <n v="86"/>
    <x v="0"/>
    <n v="1"/>
    <n v="0"/>
    <n v="0"/>
    <n v="0"/>
    <n v="0"/>
    <n v="0"/>
    <m/>
    <s v="2022-2023"/>
    <n v="58"/>
  </r>
  <r>
    <x v="147"/>
    <s v="dk"/>
    <s v="DEN"/>
    <s v="MF,FW"/>
    <x v="9"/>
    <n v="19"/>
    <n v="2003"/>
    <n v="11"/>
    <n v="4"/>
    <n v="453"/>
    <x v="0"/>
    <n v="0"/>
    <n v="0"/>
    <n v="0"/>
    <n v="0"/>
    <n v="0"/>
    <n v="0"/>
    <m/>
    <s v="2022-2023"/>
    <n v="47"/>
  </r>
  <r>
    <x v="148"/>
    <s v="ie"/>
    <s v="IRL"/>
    <s v="DF,FW"/>
    <x v="9"/>
    <n v="26"/>
    <n v="1995"/>
    <n v="21"/>
    <n v="18"/>
    <n v="1674"/>
    <x v="5"/>
    <n v="4"/>
    <n v="3"/>
    <n v="0"/>
    <n v="2"/>
    <n v="7"/>
    <n v="0"/>
    <m/>
    <s v="2022-2023"/>
    <n v="47"/>
  </r>
  <r>
    <x v="149"/>
    <s v="eng"/>
    <s v="ENG"/>
    <s v="FW,MF"/>
    <x v="10"/>
    <n v="19"/>
    <n v="2002"/>
    <n v="22"/>
    <n v="21"/>
    <n v="1843"/>
    <x v="8"/>
    <n v="6"/>
    <n v="4"/>
    <n v="0"/>
    <n v="0"/>
    <n v="0"/>
    <n v="0"/>
    <m/>
    <s v="2022-2023"/>
    <n v="16"/>
  </r>
  <r>
    <x v="150"/>
    <s v="us"/>
    <s v="USA"/>
    <s v="FW"/>
    <x v="11"/>
    <n v="30"/>
    <n v="1992"/>
    <n v="21"/>
    <n v="20"/>
    <n v="1790"/>
    <x v="10"/>
    <n v="0"/>
    <n v="7"/>
    <n v="2"/>
    <n v="2"/>
    <n v="0"/>
    <n v="0"/>
    <m/>
    <s v="2022-2023"/>
    <n v="23"/>
  </r>
  <r>
    <x v="151"/>
    <s v="eng"/>
    <s v="ENG"/>
    <s v="MF"/>
    <x v="3"/>
    <n v="26"/>
    <n v="1996"/>
    <n v="21"/>
    <n v="21"/>
    <n v="1890"/>
    <x v="5"/>
    <n v="8"/>
    <n v="1"/>
    <n v="2"/>
    <n v="3"/>
    <n v="7"/>
    <n v="0"/>
    <m/>
    <s v="2022-2023"/>
    <n v="56"/>
  </r>
  <r>
    <x v="152"/>
    <s v="nl"/>
    <s v="NED"/>
    <s v="FW"/>
    <x v="2"/>
    <n v="25"/>
    <n v="1996"/>
    <n v="21"/>
    <n v="20"/>
    <n v="1661"/>
    <x v="9"/>
    <n v="0"/>
    <n v="6"/>
    <n v="1"/>
    <n v="1"/>
    <n v="0"/>
    <n v="0"/>
    <m/>
    <s v="2022-2023"/>
    <n v="30"/>
  </r>
  <r>
    <x v="153"/>
    <s v="dk"/>
    <s v="DEN"/>
    <s v="DF"/>
    <x v="2"/>
    <n v="31"/>
    <n v="1991"/>
    <n v="14"/>
    <n v="13"/>
    <n v="1011"/>
    <x v="0"/>
    <n v="0"/>
    <n v="0"/>
    <n v="0"/>
    <n v="0"/>
    <n v="0"/>
    <n v="0"/>
    <m/>
    <s v="2022-2023"/>
    <n v="30"/>
  </r>
  <r>
    <x v="154"/>
    <s v="wls"/>
    <s v="WAL"/>
    <s v="DF,FW"/>
    <x v="10"/>
    <n v="34"/>
    <n v="1988"/>
    <n v="18"/>
    <n v="13"/>
    <n v="1131"/>
    <x v="1"/>
    <n v="2"/>
    <n v="1"/>
    <n v="0"/>
    <n v="0"/>
    <n v="3"/>
    <n v="0"/>
    <m/>
    <s v="2022-2023"/>
    <n v="16"/>
  </r>
  <r>
    <x v="155"/>
    <s v="eng"/>
    <s v="ENG"/>
    <s v="MF,FW"/>
    <x v="0"/>
    <n v="16"/>
    <n v="2005"/>
    <n v="3"/>
    <n v="0"/>
    <n v="30"/>
    <x v="0"/>
    <n v="0"/>
    <n v="0"/>
    <n v="0"/>
    <n v="0"/>
    <n v="0"/>
    <n v="0"/>
    <m/>
    <s v="2022-2023"/>
    <n v="21"/>
  </r>
  <r>
    <x v="156"/>
    <s v="fr"/>
    <s v="FRA"/>
    <s v="MF"/>
    <x v="6"/>
    <n v="31"/>
    <n v="1991"/>
    <n v="21"/>
    <n v="21"/>
    <n v="1805"/>
    <x v="4"/>
    <n v="8"/>
    <n v="5"/>
    <n v="0"/>
    <n v="0"/>
    <n v="0"/>
    <n v="0"/>
    <m/>
    <s v="2022-2023"/>
    <n v="37"/>
  </r>
  <r>
    <x v="157"/>
    <s v="sct"/>
    <s v="SCO"/>
    <s v="MF"/>
    <x v="2"/>
    <n v="18"/>
    <n v="2004"/>
    <n v="1"/>
    <n v="0"/>
    <n v="4"/>
    <x v="0"/>
    <n v="0"/>
    <n v="0"/>
    <n v="0"/>
    <n v="0"/>
    <n v="0"/>
    <n v="0"/>
    <m/>
    <s v="2022-2023"/>
    <n v="30"/>
  </r>
  <r>
    <x v="158"/>
    <s v="nl"/>
    <s v="NED"/>
    <s v="DF"/>
    <x v="5"/>
    <n v="21"/>
    <n v="2000"/>
    <n v="17"/>
    <n v="13"/>
    <n v="1162"/>
    <x v="0"/>
    <n v="3"/>
    <n v="0"/>
    <n v="0"/>
    <n v="0"/>
    <n v="0"/>
    <n v="0"/>
    <m/>
    <s v="2022-2023"/>
    <n v="47"/>
  </r>
  <r>
    <x v="159"/>
    <s v="eng"/>
    <s v="ENG"/>
    <s v="DF,MF"/>
    <x v="8"/>
    <n v="31"/>
    <n v="1990"/>
    <n v="15"/>
    <n v="12"/>
    <n v="1181"/>
    <x v="0"/>
    <n v="1"/>
    <n v="0"/>
    <n v="0"/>
    <n v="0"/>
    <n v="2"/>
    <n v="0"/>
    <m/>
    <s v="2022-2023"/>
    <n v="18"/>
  </r>
  <r>
    <x v="160"/>
    <s v="jm"/>
    <s v="JAM"/>
    <s v="FW"/>
    <x v="5"/>
    <n v="25"/>
    <n v="1997"/>
    <n v="22"/>
    <n v="22"/>
    <n v="1898"/>
    <x v="11"/>
    <n v="7"/>
    <n v="19"/>
    <n v="1"/>
    <n v="1"/>
    <n v="0"/>
    <n v="0"/>
    <m/>
    <s v="2022-2023"/>
    <n v="47"/>
  </r>
  <r>
    <x v="161"/>
    <s v="eng"/>
    <s v="ENG"/>
    <s v="GK"/>
    <x v="5"/>
    <n v="18"/>
    <n v="2004"/>
    <n v="3"/>
    <n v="2"/>
    <n v="227"/>
    <x v="0"/>
    <n v="0"/>
    <n v="0"/>
    <n v="0"/>
    <n v="0"/>
    <n v="0"/>
    <n v="0"/>
    <m/>
    <s v="2022-2023"/>
    <n v="47"/>
  </r>
  <r>
    <x v="162"/>
    <s v="sct"/>
    <s v="SCO"/>
    <s v="MF"/>
    <x v="9"/>
    <n v="32"/>
    <n v="1990"/>
    <n v="11"/>
    <n v="11"/>
    <n v="934"/>
    <x v="8"/>
    <n v="2"/>
    <n v="1"/>
    <n v="3"/>
    <n v="4"/>
    <n v="0"/>
    <n v="0"/>
    <m/>
    <s v="2022-2023"/>
    <n v="47"/>
  </r>
  <r>
    <x v="163"/>
    <s v="eng"/>
    <s v="ENG"/>
    <s v="GK"/>
    <x v="1"/>
    <n v="25"/>
    <n v="1997"/>
    <n v="7"/>
    <n v="7"/>
    <n v="630"/>
    <x v="0"/>
    <n v="0"/>
    <n v="0"/>
    <n v="0"/>
    <n v="0"/>
    <n v="0"/>
    <n v="0"/>
    <m/>
    <s v="2022-2023"/>
    <n v="16"/>
  </r>
  <r>
    <x v="164"/>
    <s v="sct"/>
    <s v="SCO"/>
    <s v="FW,MF"/>
    <x v="6"/>
    <n v="24"/>
    <n v="1998"/>
    <n v="20"/>
    <n v="20"/>
    <n v="1677"/>
    <x v="9"/>
    <n v="9"/>
    <n v="7"/>
    <n v="0"/>
    <n v="0"/>
    <n v="4"/>
    <n v="0"/>
    <m/>
    <s v="2022-2023"/>
    <n v="37"/>
  </r>
  <r>
    <x v="165"/>
    <s v="sct"/>
    <s v="SCO"/>
    <s v="DF"/>
    <x v="0"/>
    <n v="28"/>
    <n v="1994"/>
    <n v="22"/>
    <n v="19"/>
    <n v="1670"/>
    <x v="0"/>
    <n v="2"/>
    <n v="0"/>
    <n v="0"/>
    <n v="0"/>
    <n v="0"/>
    <n v="0"/>
    <m/>
    <s v="2022-2023"/>
    <n v="21"/>
  </r>
  <r>
    <x v="166"/>
    <s v="eng"/>
    <s v="ENG"/>
    <s v="FW,MF"/>
    <x v="8"/>
    <n v="26"/>
    <n v="1995"/>
    <n v="9"/>
    <n v="2"/>
    <n v="315"/>
    <x v="1"/>
    <n v="1"/>
    <n v="1"/>
    <n v="0"/>
    <n v="0"/>
    <n v="0"/>
    <n v="0"/>
    <m/>
    <s v="2022-2023"/>
    <n v="18"/>
  </r>
  <r>
    <x v="167"/>
    <s v="au"/>
    <s v="AUS"/>
    <s v="FW"/>
    <x v="8"/>
    <n v="31"/>
    <n v="1991"/>
    <n v="2"/>
    <n v="1"/>
    <n v="93"/>
    <x v="0"/>
    <n v="0"/>
    <n v="0"/>
    <n v="0"/>
    <n v="0"/>
    <n v="0"/>
    <n v="0"/>
    <m/>
    <s v="2022-2023"/>
    <n v="18"/>
  </r>
  <r>
    <x v="168"/>
    <s v="es"/>
    <s v="ESP"/>
    <s v="DF,MF"/>
    <x v="5"/>
    <n v="21"/>
    <n v="2000"/>
    <n v="16"/>
    <n v="15"/>
    <n v="1302"/>
    <x v="0"/>
    <n v="0"/>
    <n v="0"/>
    <n v="0"/>
    <n v="0"/>
    <n v="1"/>
    <n v="0"/>
    <m/>
    <s v="2022-2023"/>
    <n v="47"/>
  </r>
  <r>
    <x v="169"/>
    <s v="eng"/>
    <s v="ENG"/>
    <s v="MF,FW"/>
    <x v="6"/>
    <n v="18"/>
    <n v="2003"/>
    <n v="21"/>
    <n v="16"/>
    <n v="1335"/>
    <x v="0"/>
    <n v="0"/>
    <n v="0"/>
    <n v="0"/>
    <n v="0"/>
    <n v="2"/>
    <n v="0"/>
    <m/>
    <s v="2022-2023"/>
    <n v="37"/>
  </r>
  <r>
    <x v="170"/>
    <s v="eng"/>
    <s v="ENG"/>
    <s v="MF"/>
    <x v="5"/>
    <n v="31"/>
    <n v="1991"/>
    <n v="22"/>
    <n v="20"/>
    <n v="1685"/>
    <x v="4"/>
    <n v="4"/>
    <n v="5"/>
    <n v="0"/>
    <n v="0"/>
    <n v="0"/>
    <n v="0"/>
    <m/>
    <s v="2022-2023"/>
    <n v="47"/>
  </r>
  <r>
    <x v="171"/>
    <s v="at"/>
    <s v="AUT"/>
    <s v="DF"/>
    <x v="9"/>
    <n v="23"/>
    <n v="1999"/>
    <n v="17"/>
    <n v="11"/>
    <n v="972"/>
    <x v="1"/>
    <n v="0"/>
    <n v="1"/>
    <n v="0"/>
    <n v="0"/>
    <n v="0"/>
    <n v="0"/>
    <m/>
    <s v="2022-2023"/>
    <n v="47"/>
  </r>
  <r>
    <x v="172"/>
    <s v="eng"/>
    <s v="ENG"/>
    <s v="FW"/>
    <x v="5"/>
    <n v="21"/>
    <n v="2000"/>
    <n v="20"/>
    <n v="20"/>
    <n v="1674"/>
    <x v="9"/>
    <n v="6"/>
    <n v="7"/>
    <n v="0"/>
    <n v="0"/>
    <n v="2"/>
    <n v="0"/>
    <m/>
    <s v="2022-2023"/>
    <n v="47"/>
  </r>
  <r>
    <x v="173"/>
    <s v="eng"/>
    <s v="ENG"/>
    <s v="FW"/>
    <x v="4"/>
    <n v="20"/>
    <n v="2001"/>
    <n v="18"/>
    <n v="15"/>
    <n v="1196"/>
    <x v="4"/>
    <n v="2"/>
    <n v="5"/>
    <n v="0"/>
    <n v="1"/>
    <n v="1"/>
    <n v="0"/>
    <m/>
    <s v="2022-2023"/>
    <n v="58"/>
  </r>
  <r>
    <x v="174"/>
    <s v="nir"/>
    <s v="NIR"/>
    <s v="FW,MF"/>
    <x v="7"/>
    <n v="28"/>
    <n v="1993"/>
    <n v="15"/>
    <n v="6"/>
    <n v="604"/>
    <x v="1"/>
    <n v="0"/>
    <n v="1"/>
    <n v="0"/>
    <n v="0"/>
    <n v="0"/>
    <n v="0"/>
    <m/>
    <s v="2022-2023"/>
    <n v="11"/>
  </r>
  <r>
    <x v="175"/>
    <s v="eng"/>
    <s v="ENG"/>
    <s v="FW,MF"/>
    <x v="3"/>
    <n v="28"/>
    <n v="1994"/>
    <n v="20"/>
    <n v="20"/>
    <n v="1628"/>
    <x v="3"/>
    <n v="4"/>
    <n v="10"/>
    <n v="0"/>
    <n v="0"/>
    <n v="0"/>
    <n v="0"/>
    <m/>
    <s v="2022-2023"/>
    <n v="56"/>
  </r>
  <r>
    <x v="176"/>
    <s v="eng"/>
    <s v="ENG"/>
    <s v="DF,MF"/>
    <x v="9"/>
    <n v="25"/>
    <n v="1997"/>
    <n v="12"/>
    <n v="10"/>
    <n v="820"/>
    <x v="1"/>
    <n v="1"/>
    <n v="1"/>
    <n v="0"/>
    <n v="0"/>
    <n v="0"/>
    <n v="0"/>
    <m/>
    <s v="2022-2023"/>
    <n v="47"/>
  </r>
  <r>
    <x v="177"/>
    <s v="ie"/>
    <s v="IRL"/>
    <s v="FW"/>
    <x v="11"/>
    <n v="23"/>
    <n v="1999"/>
    <n v="2"/>
    <n v="1"/>
    <n v="89"/>
    <x v="0"/>
    <n v="0"/>
    <n v="0"/>
    <n v="0"/>
    <n v="0"/>
    <n v="0"/>
    <n v="0"/>
    <m/>
    <s v="2022-2023"/>
    <n v="23"/>
  </r>
  <r>
    <x v="178"/>
    <s v="kr"/>
    <s v="KOR"/>
    <s v="FW,MF"/>
    <x v="10"/>
    <n v="28"/>
    <n v="1994"/>
    <n v="22"/>
    <n v="20"/>
    <n v="1687"/>
    <x v="5"/>
    <n v="2"/>
    <n v="3"/>
    <n v="0"/>
    <n v="0"/>
    <n v="2"/>
    <n v="0"/>
    <m/>
    <s v="2022-2023"/>
    <n v="16"/>
  </r>
  <r>
    <x v="179"/>
    <s v="eng"/>
    <s v="ENG"/>
    <s v="DF"/>
    <x v="11"/>
    <n v="28"/>
    <n v="1993"/>
    <n v="11"/>
    <n v="6"/>
    <n v="547"/>
    <x v="0"/>
    <n v="0"/>
    <n v="0"/>
    <n v="0"/>
    <n v="0"/>
    <n v="0"/>
    <n v="0"/>
    <m/>
    <s v="2022-2023"/>
    <n v="23"/>
  </r>
  <r>
    <x v="180"/>
    <s v="es"/>
    <s v="ESP"/>
    <s v="DF"/>
    <x v="5"/>
    <n v="29"/>
    <n v="1993"/>
    <n v="16"/>
    <n v="10"/>
    <n v="888"/>
    <x v="0"/>
    <n v="0"/>
    <n v="0"/>
    <n v="0"/>
    <n v="0"/>
    <n v="3"/>
    <n v="0"/>
    <m/>
    <s v="2022-2023"/>
    <n v="47"/>
  </r>
  <r>
    <x v="181"/>
    <s v="eng"/>
    <s v="ENG"/>
    <s v="FW"/>
    <x v="8"/>
    <n v="17"/>
    <n v="2005"/>
    <n v="1"/>
    <n v="0"/>
    <n v="1"/>
    <x v="0"/>
    <n v="0"/>
    <n v="0"/>
    <n v="0"/>
    <n v="0"/>
    <n v="0"/>
    <n v="0"/>
    <m/>
    <s v="2022-2023"/>
    <n v="18"/>
  </r>
  <r>
    <x v="182"/>
    <s v="de"/>
    <s v="GER"/>
    <s v="DF,FW"/>
    <x v="2"/>
    <n v="29"/>
    <n v="1992"/>
    <n v="9"/>
    <n v="0"/>
    <n v="83"/>
    <x v="1"/>
    <n v="0"/>
    <n v="1"/>
    <n v="0"/>
    <n v="0"/>
    <n v="0"/>
    <n v="0"/>
    <m/>
    <s v="2022-2023"/>
    <n v="30"/>
  </r>
  <r>
    <x v="183"/>
    <s v="ch"/>
    <s v="SUI"/>
    <s v="MF"/>
    <x v="9"/>
    <n v="29"/>
    <n v="1993"/>
    <n v="18"/>
    <n v="17"/>
    <n v="1413"/>
    <x v="1"/>
    <n v="0"/>
    <n v="1"/>
    <n v="0"/>
    <n v="0"/>
    <n v="1"/>
    <n v="0"/>
    <m/>
    <s v="2022-2023"/>
    <n v="47"/>
  </r>
  <r>
    <x v="184"/>
    <s v="eng"/>
    <s v="ENG"/>
    <s v="MF"/>
    <x v="10"/>
    <n v="19"/>
    <n v="2003"/>
    <n v="17"/>
    <n v="8"/>
    <n v="691"/>
    <x v="0"/>
    <n v="0"/>
    <n v="0"/>
    <n v="0"/>
    <n v="0"/>
    <n v="0"/>
    <n v="0"/>
    <m/>
    <s v="2022-2023"/>
    <n v="16"/>
  </r>
  <r>
    <x v="185"/>
    <s v="wls"/>
    <s v="WAL"/>
    <s v="DF,MF"/>
    <x v="7"/>
    <n v="21"/>
    <n v="2000"/>
    <n v="16"/>
    <n v="14"/>
    <n v="1288"/>
    <x v="0"/>
    <n v="1"/>
    <n v="0"/>
    <n v="0"/>
    <n v="0"/>
    <n v="4"/>
    <n v="0"/>
    <m/>
    <s v="2022-2023"/>
    <n v="11"/>
  </r>
  <r>
    <x v="186"/>
    <s v="se"/>
    <s v="SWE"/>
    <s v="FW"/>
    <x v="9"/>
    <n v="26"/>
    <n v="1995"/>
    <n v="9"/>
    <n v="2"/>
    <n v="276"/>
    <x v="0"/>
    <n v="0"/>
    <n v="0"/>
    <n v="0"/>
    <n v="0"/>
    <n v="0"/>
    <n v="0"/>
    <m/>
    <s v="2022-2023"/>
    <n v="47"/>
  </r>
  <r>
    <x v="187"/>
    <s v="sct"/>
    <s v="SCO"/>
    <s v="FW,MF"/>
    <x v="0"/>
    <n v="30"/>
    <n v="1992"/>
    <n v="22"/>
    <n v="16"/>
    <n v="1411"/>
    <x v="5"/>
    <n v="2"/>
    <n v="3"/>
    <n v="0"/>
    <n v="0"/>
    <n v="1"/>
    <n v="0"/>
    <m/>
    <s v="2022-2023"/>
    <n v="21"/>
  </r>
  <r>
    <x v="188"/>
    <s v="no"/>
    <s v="NOR"/>
    <s v="FW"/>
    <x v="3"/>
    <n v="27"/>
    <n v="1995"/>
    <n v="1"/>
    <n v="0"/>
    <n v="4"/>
    <x v="0"/>
    <n v="0"/>
    <n v="0"/>
    <n v="0"/>
    <n v="0"/>
    <n v="0"/>
    <n v="0"/>
    <m/>
    <s v="2022-2023"/>
    <n v="56"/>
  </r>
  <r>
    <x v="189"/>
    <s v="eng"/>
    <s v="ENG"/>
    <s v="DF"/>
    <x v="9"/>
    <n v="23"/>
    <n v="1999"/>
    <n v="21"/>
    <n v="18"/>
    <n v="1617"/>
    <x v="1"/>
    <n v="1"/>
    <n v="1"/>
    <n v="0"/>
    <n v="0"/>
    <n v="1"/>
    <n v="0"/>
    <m/>
    <s v="2022-2023"/>
    <n v="47"/>
  </r>
  <r>
    <x v="190"/>
    <s v="es"/>
    <s v="ESP"/>
    <s v="FW,MF"/>
    <x v="3"/>
    <n v="24"/>
    <n v="1998"/>
    <n v="20"/>
    <n v="8"/>
    <n v="759"/>
    <x v="12"/>
    <n v="1"/>
    <n v="8"/>
    <n v="0"/>
    <n v="0"/>
    <n v="1"/>
    <n v="0"/>
    <m/>
    <s v="2022-2023"/>
    <n v="56"/>
  </r>
  <r>
    <x v="191"/>
    <s v="sct"/>
    <s v="SCO"/>
    <s v="DF,MF"/>
    <x v="2"/>
    <n v="25"/>
    <n v="1996"/>
    <n v="20"/>
    <n v="17"/>
    <n v="1565"/>
    <x v="2"/>
    <n v="1"/>
    <n v="2"/>
    <n v="0"/>
    <n v="0"/>
    <n v="2"/>
    <n v="0"/>
    <m/>
    <s v="2022-2023"/>
    <n v="30"/>
  </r>
  <r>
    <x v="192"/>
    <s v="eng"/>
    <s v="ENG"/>
    <s v="DF,MF"/>
    <x v="0"/>
    <n v="23"/>
    <n v="1998"/>
    <n v="14"/>
    <n v="12"/>
    <n v="1085"/>
    <x v="0"/>
    <n v="0"/>
    <n v="0"/>
    <n v="0"/>
    <n v="0"/>
    <n v="4"/>
    <n v="0"/>
    <m/>
    <s v="2022-2023"/>
    <n v="21"/>
  </r>
  <r>
    <x v="193"/>
    <s v="eng"/>
    <s v="ENG"/>
    <s v="MF,FW"/>
    <x v="3"/>
    <n v="29"/>
    <n v="1992"/>
    <n v="4"/>
    <n v="2"/>
    <n v="171"/>
    <x v="0"/>
    <n v="0"/>
    <n v="0"/>
    <n v="0"/>
    <n v="0"/>
    <n v="0"/>
    <n v="0"/>
    <m/>
    <s v="2022-2023"/>
    <n v="56"/>
  </r>
  <r>
    <x v="193"/>
    <s v="eng"/>
    <s v="ENG"/>
    <s v="MF"/>
    <x v="6"/>
    <n v="29"/>
    <n v="1992"/>
    <n v="13"/>
    <n v="13"/>
    <n v="1063"/>
    <x v="1"/>
    <n v="1"/>
    <n v="1"/>
    <n v="0"/>
    <n v="0"/>
    <n v="2"/>
    <n v="0"/>
    <m/>
    <s v="2022-2023"/>
    <n v="37"/>
  </r>
  <r>
    <x v="194"/>
    <s v="eng"/>
    <s v="ENG"/>
    <s v="MF"/>
    <x v="10"/>
    <n v="18"/>
    <n v="2004"/>
    <n v="1"/>
    <n v="0"/>
    <n v="5"/>
    <x v="0"/>
    <n v="0"/>
    <n v="0"/>
    <n v="0"/>
    <n v="0"/>
    <n v="0"/>
    <n v="0"/>
    <m/>
    <s v="2022-2023"/>
    <n v="16"/>
  </r>
  <r>
    <x v="195"/>
    <s v="au"/>
    <s v="AUS"/>
    <s v="GK"/>
    <x v="10"/>
    <n v="34"/>
    <n v="1988"/>
    <n v="7"/>
    <n v="7"/>
    <n v="630"/>
    <x v="0"/>
    <n v="0"/>
    <n v="0"/>
    <n v="0"/>
    <n v="0"/>
    <n v="0"/>
    <n v="0"/>
    <m/>
    <s v="2022-2023"/>
    <n v="16"/>
  </r>
  <r>
    <x v="196"/>
    <s v="au"/>
    <s v="AUS"/>
    <s v="GK"/>
    <x v="0"/>
    <n v="28"/>
    <n v="1994"/>
    <n v="20"/>
    <n v="20"/>
    <n v="1789"/>
    <x v="0"/>
    <n v="0"/>
    <n v="0"/>
    <n v="0"/>
    <n v="0"/>
    <n v="1"/>
    <n v="0"/>
    <m/>
    <s v="2022-2023"/>
    <n v="21"/>
  </r>
  <r>
    <x v="197"/>
    <m/>
    <m/>
    <s v="DF,MF"/>
    <x v="1"/>
    <m/>
    <m/>
    <n v="4"/>
    <n v="0"/>
    <n v="67"/>
    <x v="0"/>
    <n v="0"/>
    <n v="0"/>
    <n v="0"/>
    <n v="0"/>
    <n v="0"/>
    <n v="0"/>
    <m/>
    <s v="2022-2023"/>
    <n v="16"/>
  </r>
  <r>
    <x v="198"/>
    <m/>
    <m/>
    <s v="FW"/>
    <x v="7"/>
    <m/>
    <m/>
    <n v="5"/>
    <n v="0"/>
    <n v="92"/>
    <x v="0"/>
    <n v="0"/>
    <n v="0"/>
    <n v="0"/>
    <n v="0"/>
    <n v="0"/>
    <n v="0"/>
    <m/>
    <s v="2022-2023"/>
    <n v="11"/>
  </r>
  <r>
    <x v="199"/>
    <s v="se"/>
    <s v="SWE"/>
    <s v="DF"/>
    <x v="4"/>
    <n v="28"/>
    <n v="1993"/>
    <n v="20"/>
    <n v="18"/>
    <n v="1576"/>
    <x v="1"/>
    <n v="0"/>
    <n v="1"/>
    <n v="0"/>
    <n v="0"/>
    <n v="0"/>
    <n v="0"/>
    <m/>
    <s v="2022-2023"/>
    <n v="58"/>
  </r>
  <r>
    <x v="200"/>
    <s v="eng"/>
    <s v="ENG"/>
    <s v="FW,MF"/>
    <x v="10"/>
    <n v="19"/>
    <n v="2003"/>
    <n v="4"/>
    <n v="1"/>
    <n v="142"/>
    <x v="0"/>
    <n v="0"/>
    <n v="0"/>
    <n v="0"/>
    <n v="0"/>
    <n v="1"/>
    <n v="0"/>
    <m/>
    <s v="2022-2023"/>
    <n v="16"/>
  </r>
  <r>
    <x v="201"/>
    <s v="jp"/>
    <s v="JPN"/>
    <s v="MF,FW"/>
    <x v="9"/>
    <n v="29"/>
    <n v="1993"/>
    <n v="3"/>
    <n v="0"/>
    <n v="29"/>
    <x v="0"/>
    <n v="0"/>
    <n v="0"/>
    <n v="0"/>
    <n v="0"/>
    <n v="0"/>
    <n v="0"/>
    <m/>
    <s v="2022-2023"/>
    <n v="47"/>
  </r>
  <r>
    <x v="201"/>
    <s v="jp"/>
    <s v="JPN"/>
    <s v="MF,FW"/>
    <x v="8"/>
    <n v="29"/>
    <n v="1993"/>
    <n v="10"/>
    <n v="5"/>
    <n v="516"/>
    <x v="0"/>
    <n v="1"/>
    <n v="0"/>
    <n v="0"/>
    <n v="0"/>
    <n v="0"/>
    <n v="0"/>
    <m/>
    <s v="2022-2023"/>
    <n v="18"/>
  </r>
  <r>
    <x v="202"/>
    <s v="at"/>
    <s v="AUT"/>
    <s v="GK"/>
    <x v="9"/>
    <n v="26"/>
    <n v="1995"/>
    <n v="18"/>
    <n v="18"/>
    <n v="1620"/>
    <x v="0"/>
    <n v="0"/>
    <n v="0"/>
    <n v="0"/>
    <n v="0"/>
    <n v="0"/>
    <n v="0"/>
    <m/>
    <s v="2022-2023"/>
    <n v="47"/>
  </r>
  <r>
    <x v="203"/>
    <s v="no"/>
    <s v="NOR"/>
    <s v="DF,MF"/>
    <x v="4"/>
    <n v="32"/>
    <n v="1989"/>
    <n v="7"/>
    <n v="6"/>
    <n v="512"/>
    <x v="1"/>
    <n v="0"/>
    <n v="0"/>
    <n v="1"/>
    <n v="1"/>
    <n v="0"/>
    <n v="0"/>
    <m/>
    <s v="2022-2023"/>
    <n v="58"/>
  </r>
  <r>
    <x v="204"/>
    <s v="no"/>
    <s v="NOR"/>
    <s v="DF"/>
    <x v="3"/>
    <n v="29"/>
    <n v="1993"/>
    <n v="5"/>
    <n v="3"/>
    <n v="291"/>
    <x v="0"/>
    <n v="0"/>
    <n v="0"/>
    <n v="0"/>
    <n v="0"/>
    <n v="0"/>
    <n v="0"/>
    <m/>
    <s v="2022-2023"/>
    <n v="56"/>
  </r>
  <r>
    <x v="205"/>
    <s v="sct"/>
    <s v="SCO"/>
    <s v="FW"/>
    <x v="3"/>
    <n v="26"/>
    <n v="1996"/>
    <n v="20"/>
    <n v="1"/>
    <n v="408"/>
    <x v="1"/>
    <n v="2"/>
    <n v="1"/>
    <n v="0"/>
    <n v="0"/>
    <n v="0"/>
    <n v="0"/>
    <m/>
    <s v="2022-2023"/>
    <n v="56"/>
  </r>
  <r>
    <x v="206"/>
    <s v="eng"/>
    <s v="ENG"/>
    <s v="GK"/>
    <x v="3"/>
    <n v="29"/>
    <n v="1993"/>
    <n v="22"/>
    <n v="22"/>
    <n v="1980"/>
    <x v="0"/>
    <n v="0"/>
    <n v="0"/>
    <n v="0"/>
    <n v="0"/>
    <n v="0"/>
    <n v="0"/>
    <m/>
    <s v="2022-2023"/>
    <n v="56"/>
  </r>
  <r>
    <x v="207"/>
    <s v="au"/>
    <s v="AUS"/>
    <s v="MF,FW"/>
    <x v="5"/>
    <n v="19"/>
    <n v="2003"/>
    <n v="11"/>
    <n v="0"/>
    <n v="165"/>
    <x v="1"/>
    <n v="1"/>
    <n v="1"/>
    <n v="0"/>
    <n v="0"/>
    <n v="0"/>
    <n v="0"/>
    <m/>
    <s v="2022-2023"/>
    <n v="47"/>
  </r>
  <r>
    <x v="208"/>
    <s v="eng"/>
    <s v="ENG"/>
    <s v="DF"/>
    <x v="3"/>
    <n v="20"/>
    <n v="2002"/>
    <n v="22"/>
    <n v="22"/>
    <n v="1958"/>
    <x v="2"/>
    <n v="2"/>
    <n v="2"/>
    <n v="0"/>
    <n v="0"/>
    <n v="0"/>
    <n v="0"/>
    <m/>
    <s v="2022-2023"/>
    <n v="56"/>
  </r>
  <r>
    <x v="209"/>
    <s v="eng"/>
    <s v="ENG"/>
    <s v="DF"/>
    <x v="6"/>
    <n v="23"/>
    <n v="1998"/>
    <n v="22"/>
    <n v="22"/>
    <n v="1959"/>
    <x v="0"/>
    <n v="3"/>
    <n v="0"/>
    <n v="0"/>
    <n v="0"/>
    <n v="2"/>
    <n v="0"/>
    <m/>
    <s v="2022-2023"/>
    <n v="37"/>
  </r>
  <r>
    <x v="210"/>
    <s v="ie"/>
    <s v="IRL"/>
    <s v="DF,MF"/>
    <x v="11"/>
    <n v="29"/>
    <n v="1993"/>
    <n v="16"/>
    <n v="12"/>
    <n v="1090"/>
    <x v="0"/>
    <n v="1"/>
    <n v="0"/>
    <n v="0"/>
    <n v="0"/>
    <n v="2"/>
    <n v="0"/>
    <m/>
    <s v="2022-2023"/>
    <n v="23"/>
  </r>
  <r>
    <x v="211"/>
    <s v="ie"/>
    <s v="IRL"/>
    <s v="MF,DF"/>
    <x v="10"/>
    <n v="25"/>
    <n v="1997"/>
    <n v="14"/>
    <n v="13"/>
    <n v="1190"/>
    <x v="0"/>
    <n v="1"/>
    <n v="0"/>
    <n v="0"/>
    <n v="0"/>
    <n v="2"/>
    <n v="0"/>
    <m/>
    <s v="2022-2023"/>
    <n v="16"/>
  </r>
  <r>
    <x v="212"/>
    <s v="eng"/>
    <s v="ENG"/>
    <s v="DF"/>
    <x v="2"/>
    <n v="24"/>
    <n v="1998"/>
    <n v="16"/>
    <n v="13"/>
    <n v="1190"/>
    <x v="2"/>
    <n v="0"/>
    <n v="2"/>
    <n v="0"/>
    <n v="0"/>
    <n v="0"/>
    <n v="0"/>
    <m/>
    <s v="2022-2023"/>
    <n v="30"/>
  </r>
  <r>
    <x v="213"/>
    <s v="ie"/>
    <s v="IRL"/>
    <s v="GK"/>
    <x v="10"/>
    <n v="27"/>
    <n v="1994"/>
    <n v="15"/>
    <n v="15"/>
    <n v="1350"/>
    <x v="0"/>
    <n v="0"/>
    <n v="0"/>
    <n v="0"/>
    <n v="0"/>
    <n v="0"/>
    <n v="0"/>
    <m/>
    <s v="2022-2023"/>
    <n v="16"/>
  </r>
  <r>
    <x v="214"/>
    <s v="de"/>
    <s v="GER"/>
    <s v="MF,FW"/>
    <x v="4"/>
    <n v="28"/>
    <n v="1994"/>
    <n v="7"/>
    <n v="5"/>
    <n v="453"/>
    <x v="0"/>
    <n v="0"/>
    <n v="0"/>
    <n v="0"/>
    <n v="0"/>
    <n v="1"/>
    <n v="0"/>
    <m/>
    <s v="2022-2023"/>
    <n v="58"/>
  </r>
  <r>
    <x v="215"/>
    <s v="eng"/>
    <s v="ENG"/>
    <s v="MF,FW"/>
    <x v="0"/>
    <n v="20"/>
    <n v="2002"/>
    <n v="9"/>
    <n v="3"/>
    <n v="299"/>
    <x v="0"/>
    <n v="2"/>
    <n v="0"/>
    <n v="0"/>
    <n v="0"/>
    <n v="2"/>
    <n v="0"/>
    <m/>
    <s v="2022-2023"/>
    <n v="21"/>
  </r>
  <r>
    <x v="216"/>
    <s v="eng"/>
    <s v="ENG"/>
    <s v="FW,MF"/>
    <x v="11"/>
    <n v="28"/>
    <n v="1994"/>
    <n v="13"/>
    <n v="12"/>
    <n v="1014"/>
    <x v="0"/>
    <n v="3"/>
    <n v="0"/>
    <n v="0"/>
    <n v="0"/>
    <n v="2"/>
    <n v="0"/>
    <m/>
    <s v="2022-2023"/>
    <n v="23"/>
  </r>
  <r>
    <x v="217"/>
    <s v="eng"/>
    <s v="ENG"/>
    <s v="FW"/>
    <x v="9"/>
    <n v="16"/>
    <n v="2006"/>
    <n v="3"/>
    <n v="0"/>
    <n v="16"/>
    <x v="0"/>
    <n v="0"/>
    <n v="0"/>
    <n v="0"/>
    <n v="0"/>
    <n v="0"/>
    <n v="0"/>
    <m/>
    <s v="2022-2023"/>
    <n v="47"/>
  </r>
  <r>
    <x v="218"/>
    <s v="eng"/>
    <s v="ENG"/>
    <s v="DF"/>
    <x v="4"/>
    <n v="28"/>
    <n v="1993"/>
    <n v="14"/>
    <n v="14"/>
    <n v="1229"/>
    <x v="1"/>
    <n v="1"/>
    <n v="1"/>
    <n v="0"/>
    <n v="0"/>
    <n v="0"/>
    <n v="0"/>
    <m/>
    <s v="2022-2023"/>
    <n v="58"/>
  </r>
  <r>
    <x v="219"/>
    <s v="eng"/>
    <s v="ENG"/>
    <s v="DF"/>
    <x v="3"/>
    <n v="26"/>
    <n v="1996"/>
    <n v="22"/>
    <n v="20"/>
    <n v="1797"/>
    <x v="2"/>
    <n v="0"/>
    <n v="2"/>
    <n v="0"/>
    <n v="0"/>
    <n v="1"/>
    <n v="0"/>
    <m/>
    <s v="2022-2023"/>
    <n v="56"/>
  </r>
  <r>
    <x v="220"/>
    <s v="eng"/>
    <s v="ENG"/>
    <s v="MF"/>
    <x v="11"/>
    <n v="22"/>
    <n v="2000"/>
    <n v="9"/>
    <n v="3"/>
    <n v="220"/>
    <x v="0"/>
    <n v="0"/>
    <n v="0"/>
    <n v="0"/>
    <n v="0"/>
    <n v="0"/>
    <n v="0"/>
    <m/>
    <s v="2022-2023"/>
    <n v="23"/>
  </r>
  <r>
    <x v="221"/>
    <s v="eng"/>
    <s v="ENG"/>
    <s v="MF"/>
    <x v="11"/>
    <n v="21"/>
    <n v="2001"/>
    <n v="22"/>
    <n v="17"/>
    <n v="1439"/>
    <x v="8"/>
    <n v="0"/>
    <n v="4"/>
    <n v="0"/>
    <n v="0"/>
    <n v="2"/>
    <n v="0"/>
    <m/>
    <s v="2022-2023"/>
    <n v="23"/>
  </r>
  <r>
    <x v="222"/>
    <s v="eng"/>
    <s v="ENG"/>
    <s v="FW,MF"/>
    <x v="1"/>
    <n v="19"/>
    <n v="2003"/>
    <n v="22"/>
    <n v="8"/>
    <n v="834"/>
    <x v="1"/>
    <n v="0"/>
    <n v="1"/>
    <n v="0"/>
    <n v="0"/>
    <n v="0"/>
    <n v="0"/>
    <m/>
    <s v="2022-2023"/>
    <n v="16"/>
  </r>
  <r>
    <x v="223"/>
    <s v="eng"/>
    <s v="ENG"/>
    <s v="DF"/>
    <x v="8"/>
    <n v="26"/>
    <n v="1996"/>
    <n v="22"/>
    <n v="22"/>
    <n v="1956"/>
    <x v="1"/>
    <n v="3"/>
    <n v="1"/>
    <n v="0"/>
    <n v="0"/>
    <n v="3"/>
    <n v="0"/>
    <m/>
    <s v="2022-2023"/>
    <n v="18"/>
  </r>
  <r>
    <x v="224"/>
    <s v="eng"/>
    <s v="ENG"/>
    <s v="MF,FW"/>
    <x v="1"/>
    <n v="21"/>
    <n v="2001"/>
    <n v="18"/>
    <n v="8"/>
    <n v="864"/>
    <x v="0"/>
    <n v="0"/>
    <n v="0"/>
    <n v="0"/>
    <n v="0"/>
    <n v="1"/>
    <n v="0"/>
    <m/>
    <s v="2022-2023"/>
    <n v="16"/>
  </r>
  <r>
    <x v="225"/>
    <s v="eng"/>
    <s v="ENG"/>
    <s v="MF,FW"/>
    <x v="1"/>
    <n v="17"/>
    <n v="2004"/>
    <n v="6"/>
    <n v="0"/>
    <n v="104"/>
    <x v="1"/>
    <n v="0"/>
    <n v="1"/>
    <n v="0"/>
    <n v="0"/>
    <n v="0"/>
    <n v="0"/>
    <m/>
    <s v="2022-2023"/>
    <n v="16"/>
  </r>
  <r>
    <x v="226"/>
    <s v="eng"/>
    <s v="ENG"/>
    <s v="FW"/>
    <x v="11"/>
    <n v="34"/>
    <n v="1988"/>
    <n v="7"/>
    <n v="5"/>
    <n v="400"/>
    <x v="2"/>
    <n v="1"/>
    <n v="2"/>
    <n v="0"/>
    <n v="0"/>
    <n v="0"/>
    <n v="0"/>
    <m/>
    <s v="2022-2023"/>
    <n v="23"/>
  </r>
  <r>
    <x v="226"/>
    <s v="eng"/>
    <s v="ENG"/>
    <s v="FW,MF"/>
    <x v="7"/>
    <n v="34"/>
    <n v="1988"/>
    <n v="10"/>
    <n v="7"/>
    <n v="642"/>
    <x v="1"/>
    <n v="0"/>
    <n v="1"/>
    <n v="0"/>
    <n v="0"/>
    <n v="0"/>
    <n v="0"/>
    <m/>
    <s v="2022-2023"/>
    <n v="11"/>
  </r>
  <r>
    <x v="227"/>
    <s v="eng"/>
    <s v="ENG"/>
    <s v="FW"/>
    <x v="1"/>
    <n v="25"/>
    <n v="1996"/>
    <n v="9"/>
    <n v="5"/>
    <n v="462"/>
    <x v="1"/>
    <n v="0"/>
    <n v="1"/>
    <n v="0"/>
    <n v="0"/>
    <n v="0"/>
    <n v="0"/>
    <m/>
    <s v="2022-2023"/>
    <n v="16"/>
  </r>
  <r>
    <x v="228"/>
    <s v="wls"/>
    <s v="WAL"/>
    <s v="MF,FW"/>
    <x v="6"/>
    <n v="33"/>
    <n v="1989"/>
    <n v="4"/>
    <n v="0"/>
    <n v="99"/>
    <x v="0"/>
    <n v="0"/>
    <n v="0"/>
    <n v="0"/>
    <n v="0"/>
    <n v="0"/>
    <n v="0"/>
    <m/>
    <s v="2022-2023"/>
    <n v="37"/>
  </r>
  <r>
    <x v="229"/>
    <s v="se"/>
    <s v="SWE"/>
    <s v="DF,MF"/>
    <x v="2"/>
    <n v="25"/>
    <n v="1997"/>
    <n v="20"/>
    <n v="20"/>
    <n v="1724"/>
    <x v="0"/>
    <n v="1"/>
    <n v="0"/>
    <n v="0"/>
    <n v="0"/>
    <n v="4"/>
    <n v="0"/>
    <m/>
    <s v="2022-2023"/>
    <n v="30"/>
  </r>
  <r>
    <x v="230"/>
    <s v="eng"/>
    <s v="ENG"/>
    <s v="DF,MF"/>
    <x v="4"/>
    <n v="23"/>
    <n v="1999"/>
    <n v="21"/>
    <n v="15"/>
    <n v="1341"/>
    <x v="8"/>
    <n v="3"/>
    <n v="4"/>
    <n v="0"/>
    <n v="0"/>
    <n v="0"/>
    <n v="0"/>
    <m/>
    <s v="2022-2023"/>
    <n v="58"/>
  </r>
  <r>
    <x v="231"/>
    <s v="ie"/>
    <s v="IRL"/>
    <s v="DF"/>
    <x v="11"/>
    <n v="34"/>
    <n v="1987"/>
    <n v="12"/>
    <n v="12"/>
    <n v="988"/>
    <x v="0"/>
    <n v="0"/>
    <n v="0"/>
    <n v="0"/>
    <n v="0"/>
    <n v="1"/>
    <n v="0"/>
    <m/>
    <s v="2022-2023"/>
    <n v="23"/>
  </r>
  <r>
    <x v="232"/>
    <s v="dk"/>
    <s v="DEN"/>
    <s v="FW,DF"/>
    <x v="2"/>
    <n v="24"/>
    <n v="1997"/>
    <n v="15"/>
    <n v="13"/>
    <n v="1063"/>
    <x v="2"/>
    <n v="4"/>
    <n v="2"/>
    <n v="0"/>
    <n v="0"/>
    <n v="0"/>
    <n v="0"/>
    <m/>
    <s v="2022-2023"/>
    <n v="30"/>
  </r>
  <r>
    <x v="233"/>
    <s v="eng"/>
    <s v="ENG"/>
    <s v="FW"/>
    <x v="3"/>
    <n v="28"/>
    <n v="1994"/>
    <n v="21"/>
    <n v="17"/>
    <n v="1318"/>
    <x v="8"/>
    <n v="1"/>
    <n v="4"/>
    <n v="0"/>
    <n v="0"/>
    <n v="1"/>
    <n v="0"/>
    <m/>
    <s v="2022-2023"/>
    <n v="56"/>
  </r>
  <r>
    <x v="234"/>
    <s v="pl"/>
    <s v="POL"/>
    <s v="FW"/>
    <x v="8"/>
    <n v="22"/>
    <n v="1999"/>
    <n v="14"/>
    <n v="6"/>
    <n v="498"/>
    <x v="2"/>
    <n v="0"/>
    <n v="2"/>
    <n v="0"/>
    <n v="0"/>
    <n v="1"/>
    <n v="0"/>
    <m/>
    <s v="2022-2023"/>
    <n v="18"/>
  </r>
  <r>
    <x v="235"/>
    <s v="ch"/>
    <s v="SUI"/>
    <s v="DF"/>
    <x v="9"/>
    <n v="26"/>
    <n v="1995"/>
    <n v="17"/>
    <n v="13"/>
    <n v="1134"/>
    <x v="0"/>
    <n v="2"/>
    <n v="0"/>
    <n v="0"/>
    <n v="0"/>
    <n v="1"/>
    <n v="0"/>
    <m/>
    <s v="2022-2023"/>
    <n v="47"/>
  </r>
  <r>
    <x v="236"/>
    <s v="eng"/>
    <s v="ENG"/>
    <s v="MF"/>
    <x v="6"/>
    <n v="17"/>
    <n v="2004"/>
    <n v="7"/>
    <n v="1"/>
    <n v="97"/>
    <x v="0"/>
    <n v="0"/>
    <n v="0"/>
    <n v="0"/>
    <n v="0"/>
    <n v="0"/>
    <n v="0"/>
    <m/>
    <s v="2022-2023"/>
    <n v="37"/>
  </r>
  <r>
    <x v="237"/>
    <s v="es"/>
    <s v="ESP"/>
    <s v="DF"/>
    <x v="3"/>
    <n v="23"/>
    <n v="1999"/>
    <n v="19"/>
    <n v="19"/>
    <n v="1709"/>
    <x v="1"/>
    <n v="9"/>
    <n v="1"/>
    <n v="0"/>
    <n v="0"/>
    <n v="1"/>
    <n v="0"/>
    <m/>
    <s v="2022-2023"/>
    <n v="56"/>
  </r>
  <r>
    <x v="238"/>
    <s v="kr"/>
    <s v="KOR"/>
    <s v="FW,MF"/>
    <x v="10"/>
    <n v="25"/>
    <n v="1996"/>
    <n v="4"/>
    <n v="0"/>
    <n v="38"/>
    <x v="0"/>
    <n v="0"/>
    <n v="0"/>
    <n v="0"/>
    <n v="0"/>
    <n v="0"/>
    <n v="0"/>
    <m/>
    <s v="2022-2023"/>
    <n v="16"/>
  </r>
  <r>
    <x v="239"/>
    <s v="dk"/>
    <s v="DEN"/>
    <s v="FW,MF"/>
    <x v="4"/>
    <n v="29"/>
    <n v="1992"/>
    <n v="10"/>
    <n v="7"/>
    <n v="604"/>
    <x v="12"/>
    <n v="3"/>
    <n v="7"/>
    <n v="1"/>
    <n v="1"/>
    <n v="0"/>
    <n v="0"/>
    <m/>
    <s v="2022-2023"/>
    <n v="58"/>
  </r>
  <r>
    <x v="240"/>
    <s v="eng"/>
    <s v="ENG"/>
    <s v="DF"/>
    <x v="10"/>
    <n v="22"/>
    <n v="2000"/>
    <n v="21"/>
    <n v="17"/>
    <n v="1540"/>
    <x v="0"/>
    <n v="1"/>
    <n v="0"/>
    <n v="0"/>
    <n v="0"/>
    <n v="2"/>
    <n v="0"/>
    <m/>
    <s v="2022-2023"/>
    <n v="16"/>
  </r>
  <r>
    <x v="241"/>
    <m/>
    <m/>
    <s v="MF,FW"/>
    <x v="0"/>
    <m/>
    <m/>
    <n v="2"/>
    <n v="0"/>
    <n v="10"/>
    <x v="0"/>
    <n v="0"/>
    <n v="0"/>
    <n v="0"/>
    <n v="0"/>
    <n v="0"/>
    <n v="0"/>
    <m/>
    <s v="2022-2023"/>
    <n v="21"/>
  </r>
  <r>
    <x v="242"/>
    <s v="eng"/>
    <s v="ENG"/>
    <s v="GK"/>
    <x v="11"/>
    <n v="31"/>
    <n v="1990"/>
    <n v="17"/>
    <n v="17"/>
    <n v="1530"/>
    <x v="0"/>
    <n v="0"/>
    <n v="0"/>
    <n v="0"/>
    <n v="0"/>
    <n v="1"/>
    <n v="0"/>
    <m/>
    <s v="2022-2023"/>
    <n v="23"/>
  </r>
  <r>
    <x v="243"/>
    <s v="sct"/>
    <s v="SCO"/>
    <s v="MF,DF"/>
    <x v="6"/>
    <n v="32"/>
    <n v="1989"/>
    <n v="15"/>
    <n v="12"/>
    <n v="1166"/>
    <x v="0"/>
    <n v="1"/>
    <n v="0"/>
    <n v="0"/>
    <n v="0"/>
    <n v="1"/>
    <n v="0"/>
    <m/>
    <s v="2022-2023"/>
    <n v="37"/>
  </r>
  <r>
    <x v="244"/>
    <s v="eng"/>
    <s v="ENG"/>
    <s v="FW"/>
    <x v="6"/>
    <n v="30"/>
    <n v="1991"/>
    <n v="22"/>
    <n v="22"/>
    <n v="1956"/>
    <x v="13"/>
    <n v="6"/>
    <n v="19"/>
    <n v="3"/>
    <n v="3"/>
    <n v="2"/>
    <n v="0"/>
    <m/>
    <s v="2022-2023"/>
    <n v="37"/>
  </r>
  <r>
    <x v="245"/>
    <s v="nir"/>
    <s v="NIR"/>
    <s v="MF"/>
    <x v="11"/>
    <n v="34"/>
    <n v="1988"/>
    <n v="9"/>
    <n v="4"/>
    <n v="385"/>
    <x v="1"/>
    <n v="0"/>
    <n v="1"/>
    <n v="0"/>
    <n v="0"/>
    <n v="1"/>
    <n v="0"/>
    <m/>
    <s v="2022-2023"/>
    <n v="23"/>
  </r>
  <r>
    <x v="246"/>
    <s v="wls"/>
    <s v="WAL"/>
    <s v="MF,FW"/>
    <x v="7"/>
    <n v="29"/>
    <n v="1992"/>
    <n v="18"/>
    <n v="17"/>
    <n v="1559"/>
    <x v="5"/>
    <n v="1"/>
    <n v="3"/>
    <n v="0"/>
    <n v="0"/>
    <n v="2"/>
    <n v="0"/>
    <m/>
    <s v="2022-2023"/>
    <n v="11"/>
  </r>
  <r>
    <x v="247"/>
    <s v="eng"/>
    <s v="ENG"/>
    <s v="FW,MF"/>
    <x v="3"/>
    <n v="34"/>
    <n v="1988"/>
    <n v="17"/>
    <n v="0"/>
    <n v="268"/>
    <x v="8"/>
    <n v="0"/>
    <n v="4"/>
    <n v="0"/>
    <n v="0"/>
    <n v="0"/>
    <n v="0"/>
    <m/>
    <s v="2022-2023"/>
    <n v="56"/>
  </r>
  <r>
    <x v="248"/>
    <s v="br"/>
    <s v="BRA"/>
    <s v="DF"/>
    <x v="9"/>
    <n v="31"/>
    <n v="1991"/>
    <n v="16"/>
    <n v="15"/>
    <n v="1249"/>
    <x v="2"/>
    <n v="0"/>
    <n v="2"/>
    <n v="0"/>
    <n v="0"/>
    <n v="0"/>
    <n v="0"/>
    <m/>
    <s v="2022-2023"/>
    <n v="47"/>
  </r>
  <r>
    <x v="249"/>
    <s v="de"/>
    <s v="GER"/>
    <s v="FW,DF"/>
    <x v="8"/>
    <n v="29"/>
    <n v="1992"/>
    <n v="2"/>
    <n v="0"/>
    <n v="42"/>
    <x v="0"/>
    <n v="0"/>
    <n v="0"/>
    <n v="0"/>
    <n v="0"/>
    <n v="0"/>
    <n v="0"/>
    <m/>
    <s v="2022-2023"/>
    <n v="18"/>
  </r>
  <r>
    <x v="250"/>
    <s v="eng"/>
    <s v="ENG"/>
    <s v="MF"/>
    <x v="7"/>
    <n v="30"/>
    <n v="1992"/>
    <n v="1"/>
    <n v="0"/>
    <n v="1"/>
    <x v="0"/>
    <n v="0"/>
    <n v="0"/>
    <n v="0"/>
    <n v="0"/>
    <n v="0"/>
    <n v="0"/>
    <m/>
    <s v="2022-2023"/>
    <n v="11"/>
  </r>
  <r>
    <x v="251"/>
    <s v="jm"/>
    <s v="JAM"/>
    <s v="GK"/>
    <x v="8"/>
    <n v="31"/>
    <n v="1991"/>
    <n v="11"/>
    <n v="11"/>
    <n v="990"/>
    <x v="0"/>
    <n v="0"/>
    <n v="0"/>
    <n v="0"/>
    <n v="0"/>
    <n v="1"/>
    <n v="0"/>
    <m/>
    <s v="2022-2023"/>
    <n v="18"/>
  </r>
  <r>
    <x v="252"/>
    <s v="nz"/>
    <s v="NZL"/>
    <s v="DF"/>
    <x v="10"/>
    <n v="29"/>
    <n v="1993"/>
    <n v="5"/>
    <n v="4"/>
    <n v="325"/>
    <x v="0"/>
    <n v="0"/>
    <n v="0"/>
    <n v="0"/>
    <n v="0"/>
    <n v="0"/>
    <n v="0"/>
    <m/>
    <s v="2022-2023"/>
    <n v="16"/>
  </r>
  <r>
    <x v="253"/>
    <s v="eng"/>
    <s v="ENG"/>
    <s v="MF"/>
    <x v="6"/>
    <n v="31"/>
    <n v="1990"/>
    <n v="3"/>
    <n v="1"/>
    <n v="168"/>
    <x v="0"/>
    <n v="0"/>
    <n v="0"/>
    <n v="0"/>
    <n v="0"/>
    <n v="1"/>
    <n v="0"/>
    <m/>
    <s v="2022-2023"/>
    <n v="37"/>
  </r>
  <r>
    <x v="254"/>
    <s v="au"/>
    <s v="AUS"/>
    <s v="FW,MF"/>
    <x v="1"/>
    <n v="22"/>
    <n v="1999"/>
    <n v="10"/>
    <n v="7"/>
    <n v="561"/>
    <x v="1"/>
    <n v="1"/>
    <n v="1"/>
    <n v="0"/>
    <n v="0"/>
    <n v="0"/>
    <n v="0"/>
    <m/>
    <s v="2022-2023"/>
    <n v="16"/>
  </r>
  <r>
    <x v="255"/>
    <s v="wls"/>
    <s v="WAL"/>
    <s v="DF,MF"/>
    <x v="11"/>
    <n v="31"/>
    <n v="1990"/>
    <n v="19"/>
    <n v="3"/>
    <n v="492"/>
    <x v="1"/>
    <n v="0"/>
    <n v="1"/>
    <n v="0"/>
    <n v="0"/>
    <n v="0"/>
    <n v="0"/>
    <m/>
    <s v="2022-2023"/>
    <n v="23"/>
  </r>
  <r>
    <x v="256"/>
    <s v="nz"/>
    <s v="NZL"/>
    <s v="FW,MF"/>
    <x v="8"/>
    <n v="32"/>
    <n v="1989"/>
    <n v="4"/>
    <n v="0"/>
    <n v="56"/>
    <x v="0"/>
    <n v="0"/>
    <n v="0"/>
    <n v="0"/>
    <n v="0"/>
    <n v="0"/>
    <n v="0"/>
    <m/>
    <s v="2022-2023"/>
    <n v="18"/>
  </r>
  <r>
    <x v="257"/>
    <s v="dk"/>
    <s v="DEN"/>
    <s v="DF"/>
    <x v="2"/>
    <n v="26"/>
    <n v="1996"/>
    <n v="21"/>
    <n v="17"/>
    <n v="1660"/>
    <x v="1"/>
    <n v="0"/>
    <n v="1"/>
    <n v="0"/>
    <n v="0"/>
    <n v="1"/>
    <n v="0"/>
    <m/>
    <s v="2022-2023"/>
    <n v="30"/>
  </r>
  <r>
    <x v="258"/>
    <s v="jp"/>
    <s v="JPN"/>
    <s v="DF"/>
    <x v="0"/>
    <n v="26"/>
    <n v="1996"/>
    <n v="22"/>
    <n v="21"/>
    <n v="1898"/>
    <x v="0"/>
    <n v="0"/>
    <n v="0"/>
    <n v="0"/>
    <n v="0"/>
    <n v="0"/>
    <n v="0"/>
    <m/>
    <s v="2022-2023"/>
    <n v="21"/>
  </r>
  <r>
    <x v="259"/>
    <s v="ma"/>
    <s v="MAR"/>
    <s v="MF,FW"/>
    <x v="8"/>
    <n v="26"/>
    <n v="1996"/>
    <n v="19"/>
    <n v="13"/>
    <n v="1093"/>
    <x v="1"/>
    <n v="4"/>
    <n v="1"/>
    <n v="0"/>
    <n v="0"/>
    <n v="1"/>
    <n v="0"/>
    <m/>
    <s v="2022-2023"/>
    <n v="18"/>
  </r>
  <r>
    <x v="260"/>
    <s v="eng"/>
    <s v="ENG"/>
    <s v="MF"/>
    <x v="1"/>
    <n v="18"/>
    <n v="2003"/>
    <n v="10"/>
    <n v="10"/>
    <n v="899"/>
    <x v="0"/>
    <n v="0"/>
    <n v="0"/>
    <n v="0"/>
    <n v="0"/>
    <n v="5"/>
    <n v="1"/>
    <m/>
    <s v="2022-2023"/>
    <n v="16"/>
  </r>
  <r>
    <x v="260"/>
    <s v="eng"/>
    <s v="ENG"/>
    <s v="MF"/>
    <x v="5"/>
    <n v="18"/>
    <n v="2003"/>
    <n v="1"/>
    <n v="0"/>
    <n v="18"/>
    <x v="0"/>
    <n v="0"/>
    <n v="0"/>
    <n v="0"/>
    <n v="0"/>
    <n v="0"/>
    <n v="0"/>
    <m/>
    <s v="2022-2023"/>
    <n v="47"/>
  </r>
  <r>
    <x v="261"/>
    <s v="ie"/>
    <s v="IRL"/>
    <s v="MF"/>
    <x v="6"/>
    <n v="32"/>
    <n v="1990"/>
    <n v="8"/>
    <n v="1"/>
    <n v="161"/>
    <x v="0"/>
    <n v="0"/>
    <n v="0"/>
    <n v="0"/>
    <n v="0"/>
    <n v="2"/>
    <n v="0"/>
    <m/>
    <s v="2022-2023"/>
    <n v="37"/>
  </r>
  <r>
    <x v="262"/>
    <s v="ca"/>
    <s v="CAN"/>
    <s v="GK"/>
    <x v="9"/>
    <n v="29"/>
    <n v="1993"/>
    <n v="4"/>
    <n v="4"/>
    <n v="360"/>
    <x v="0"/>
    <n v="0"/>
    <n v="0"/>
    <n v="0"/>
    <n v="0"/>
    <n v="0"/>
    <n v="0"/>
    <m/>
    <s v="2022-2023"/>
    <n v="47"/>
  </r>
  <r>
    <x v="263"/>
    <s v="au"/>
    <s v="AUS"/>
    <s v="FW"/>
    <x v="4"/>
    <n v="28"/>
    <n v="1993"/>
    <n v="21"/>
    <n v="19"/>
    <n v="1539"/>
    <x v="6"/>
    <n v="5"/>
    <n v="12"/>
    <n v="0"/>
    <n v="0"/>
    <n v="0"/>
    <n v="0"/>
    <m/>
    <s v="2022-2023"/>
    <n v="58"/>
  </r>
  <r>
    <x v="264"/>
    <s v="eng"/>
    <s v="ENG"/>
    <s v="MF,DF"/>
    <x v="1"/>
    <n v="23"/>
    <n v="1998"/>
    <n v="21"/>
    <n v="21"/>
    <n v="1846"/>
    <x v="2"/>
    <n v="2"/>
    <n v="2"/>
    <n v="0"/>
    <n v="0"/>
    <n v="5"/>
    <n v="0"/>
    <m/>
    <s v="2022-2023"/>
    <n v="16"/>
  </r>
  <r>
    <x v="265"/>
    <s v="eng"/>
    <s v="ENG"/>
    <s v="GK"/>
    <x v="5"/>
    <n v="24"/>
    <n v="1998"/>
    <n v="3"/>
    <n v="3"/>
    <n v="270"/>
    <x v="0"/>
    <n v="0"/>
    <n v="0"/>
    <n v="0"/>
    <n v="0"/>
    <n v="0"/>
    <n v="0"/>
    <m/>
    <s v="2022-2023"/>
    <n v="47"/>
  </r>
  <r>
    <x v="266"/>
    <s v="dk"/>
    <s v="DEN"/>
    <s v="MF,FW"/>
    <x v="7"/>
    <n v="33"/>
    <n v="1988"/>
    <n v="20"/>
    <n v="13"/>
    <n v="1143"/>
    <x v="8"/>
    <n v="1"/>
    <n v="3"/>
    <n v="1"/>
    <n v="1"/>
    <n v="0"/>
    <n v="0"/>
    <m/>
    <s v="2022-2023"/>
    <n v="11"/>
  </r>
  <r>
    <x v="267"/>
    <s v="dk"/>
    <s v="DEN"/>
    <s v="DF"/>
    <x v="2"/>
    <n v="23"/>
    <n v="1999"/>
    <n v="6"/>
    <n v="2"/>
    <n v="197"/>
    <x v="0"/>
    <n v="0"/>
    <n v="0"/>
    <n v="0"/>
    <n v="0"/>
    <n v="0"/>
    <n v="0"/>
    <m/>
    <s v="2022-2023"/>
    <n v="30"/>
  </r>
  <r>
    <x v="268"/>
    <s v="eng"/>
    <s v="ENG"/>
    <s v="DF"/>
    <x v="6"/>
    <n v="25"/>
    <n v="1997"/>
    <n v="20"/>
    <n v="20"/>
    <n v="1799"/>
    <x v="0"/>
    <n v="1"/>
    <n v="0"/>
    <n v="0"/>
    <n v="0"/>
    <n v="3"/>
    <n v="0"/>
    <m/>
    <s v="2022-2023"/>
    <n v="37"/>
  </r>
  <r>
    <x v="269"/>
    <s v="nl"/>
    <s v="NED"/>
    <s v="FW"/>
    <x v="11"/>
    <n v="29"/>
    <n v="1992"/>
    <n v="14"/>
    <n v="7"/>
    <n v="637"/>
    <x v="1"/>
    <n v="3"/>
    <n v="1"/>
    <n v="0"/>
    <n v="0"/>
    <n v="3"/>
    <n v="0"/>
    <m/>
    <s v="2022-2023"/>
    <n v="23"/>
  </r>
  <r>
    <x v="270"/>
    <s v="eng"/>
    <s v="ENG"/>
    <s v="DF"/>
    <x v="0"/>
    <n v="22"/>
    <n v="2000"/>
    <n v="1"/>
    <n v="0"/>
    <n v="12"/>
    <x v="0"/>
    <n v="0"/>
    <n v="0"/>
    <n v="0"/>
    <n v="0"/>
    <n v="0"/>
    <n v="0"/>
    <m/>
    <s v="2022-2023"/>
    <n v="21"/>
  </r>
  <r>
    <x v="271"/>
    <s v="eng"/>
    <s v="ENG"/>
    <s v="FW,MF"/>
    <x v="1"/>
    <n v="20"/>
    <n v="2001"/>
    <n v="10"/>
    <n v="4"/>
    <n v="472"/>
    <x v="0"/>
    <n v="1"/>
    <n v="0"/>
    <n v="0"/>
    <n v="0"/>
    <n v="4"/>
    <n v="0"/>
    <m/>
    <s v="2022-2023"/>
    <n v="16"/>
  </r>
  <r>
    <x v="272"/>
    <s v="ca"/>
    <s v="CAN"/>
    <s v="DF"/>
    <x v="8"/>
    <n v="29"/>
    <n v="1992"/>
    <n v="13"/>
    <n v="13"/>
    <n v="1170"/>
    <x v="0"/>
    <n v="0"/>
    <n v="0"/>
    <n v="0"/>
    <n v="0"/>
    <n v="0"/>
    <n v="0"/>
    <m/>
    <s v="2022-2023"/>
    <n v="18"/>
  </r>
  <r>
    <x v="273"/>
    <s v="nir"/>
    <s v="NIR"/>
    <s v="MF,FW"/>
    <x v="6"/>
    <n v="27"/>
    <n v="1994"/>
    <n v="3"/>
    <n v="0"/>
    <n v="99"/>
    <x v="0"/>
    <n v="1"/>
    <n v="0"/>
    <n v="0"/>
    <n v="0"/>
    <n v="1"/>
    <n v="0"/>
    <m/>
    <s v="2022-2023"/>
    <n v="37"/>
  </r>
  <r>
    <x v="274"/>
    <s v="dk"/>
    <s v="DEN"/>
    <s v="MF"/>
    <x v="11"/>
    <n v="20"/>
    <n v="2002"/>
    <n v="12"/>
    <n v="0"/>
    <n v="240"/>
    <x v="0"/>
    <n v="0"/>
    <n v="0"/>
    <n v="0"/>
    <n v="0"/>
    <n v="1"/>
    <n v="0"/>
    <m/>
    <s v="2022-2023"/>
    <n v="23"/>
  </r>
  <r>
    <x v="275"/>
    <s v="eng"/>
    <s v="ENG"/>
    <s v="GK"/>
    <x v="0"/>
    <n v="19"/>
    <n v="2003"/>
    <n v="3"/>
    <n v="2"/>
    <n v="191"/>
    <x v="0"/>
    <n v="0"/>
    <n v="0"/>
    <n v="0"/>
    <n v="0"/>
    <n v="0"/>
    <n v="0"/>
    <m/>
    <s v="2022-2023"/>
    <n v="21"/>
  </r>
  <r>
    <x v="276"/>
    <s v="sct"/>
    <s v="SCO"/>
    <s v="DF"/>
    <x v="1"/>
    <n v="28"/>
    <n v="1993"/>
    <n v="21"/>
    <n v="21"/>
    <n v="1868"/>
    <x v="0"/>
    <n v="0"/>
    <n v="0"/>
    <n v="0"/>
    <n v="0"/>
    <n v="1"/>
    <n v="0"/>
    <m/>
    <s v="2022-2023"/>
    <n v="16"/>
  </r>
  <r>
    <x v="277"/>
    <s v="wls"/>
    <s v="WAL"/>
    <s v="MF"/>
    <x v="4"/>
    <n v="30"/>
    <n v="1991"/>
    <n v="21"/>
    <n v="15"/>
    <n v="1343"/>
    <x v="2"/>
    <n v="3"/>
    <n v="2"/>
    <n v="0"/>
    <n v="0"/>
    <n v="1"/>
    <n v="0"/>
    <m/>
    <s v="2022-2023"/>
    <n v="58"/>
  </r>
  <r>
    <x v="278"/>
    <s v="au"/>
    <s v="AUS"/>
    <s v="DF"/>
    <x v="9"/>
    <n v="28"/>
    <n v="1994"/>
    <n v="17"/>
    <n v="12"/>
    <n v="1192"/>
    <x v="1"/>
    <n v="2"/>
    <n v="1"/>
    <n v="0"/>
    <n v="0"/>
    <n v="0"/>
    <n v="0"/>
    <m/>
    <s v="2022-2023"/>
    <n v="47"/>
  </r>
  <r>
    <x v="279"/>
    <s v="eng"/>
    <s v="ENG"/>
    <s v="DF"/>
    <x v="5"/>
    <n v="34"/>
    <n v="1988"/>
    <n v="14"/>
    <n v="13"/>
    <n v="1173"/>
    <x v="2"/>
    <n v="1"/>
    <n v="2"/>
    <n v="0"/>
    <n v="0"/>
    <n v="1"/>
    <n v="0"/>
    <m/>
    <s v="2022-2023"/>
    <n v="47"/>
  </r>
  <r>
    <x v="280"/>
    <s v="se"/>
    <s v="SWE"/>
    <s v="FW"/>
    <x v="9"/>
    <n v="26"/>
    <n v="1996"/>
    <n v="22"/>
    <n v="20"/>
    <n v="1605"/>
    <x v="12"/>
    <n v="0"/>
    <n v="8"/>
    <n v="0"/>
    <n v="0"/>
    <n v="0"/>
    <n v="0"/>
    <m/>
    <s v="2022-2023"/>
    <n v="47"/>
  </r>
  <r>
    <x v="281"/>
    <s v="eng"/>
    <s v="ENG"/>
    <s v="DF,MF"/>
    <x v="11"/>
    <n v="22"/>
    <n v="1999"/>
    <n v="22"/>
    <n v="22"/>
    <n v="1863"/>
    <x v="0"/>
    <n v="2"/>
    <n v="0"/>
    <n v="0"/>
    <n v="0"/>
    <n v="2"/>
    <n v="0"/>
    <m/>
    <s v="2022-2023"/>
    <n v="23"/>
  </r>
  <r>
    <x v="282"/>
    <s v="eng"/>
    <s v="ENG"/>
    <s v="FW"/>
    <x v="9"/>
    <n v="18"/>
    <n v="2004"/>
    <n v="1"/>
    <n v="0"/>
    <n v="6"/>
    <x v="0"/>
    <n v="0"/>
    <n v="0"/>
    <n v="0"/>
    <n v="0"/>
    <n v="0"/>
    <n v="0"/>
    <m/>
    <s v="2022-2023"/>
    <n v="47"/>
  </r>
  <r>
    <x v="283"/>
    <s v="no"/>
    <s v="NOR"/>
    <s v="FW"/>
    <x v="0"/>
    <n v="18"/>
    <n v="2004"/>
    <n v="10"/>
    <n v="4"/>
    <n v="325"/>
    <x v="0"/>
    <n v="0"/>
    <n v="0"/>
    <n v="0"/>
    <n v="0"/>
    <n v="1"/>
    <n v="0"/>
    <m/>
    <s v="2022-2023"/>
    <n v="21"/>
  </r>
  <r>
    <x v="284"/>
    <s v="eng"/>
    <s v="ENG"/>
    <s v="MF,FW"/>
    <x v="7"/>
    <n v="18"/>
    <n v="2004"/>
    <n v="17"/>
    <n v="10"/>
    <n v="895"/>
    <x v="1"/>
    <n v="0"/>
    <n v="1"/>
    <n v="0"/>
    <n v="0"/>
    <n v="2"/>
    <n v="0"/>
    <m/>
    <s v="2022-2023"/>
    <n v="11"/>
  </r>
  <r>
    <x v="285"/>
    <s v="eng"/>
    <s v="ENG"/>
    <s v="MF"/>
    <x v="7"/>
    <n v="23"/>
    <n v="1999"/>
    <n v="1"/>
    <n v="0"/>
    <n v="17"/>
    <x v="0"/>
    <n v="0"/>
    <n v="0"/>
    <n v="0"/>
    <n v="0"/>
    <n v="0"/>
    <n v="0"/>
    <m/>
    <s v="2022-2023"/>
    <n v="11"/>
  </r>
  <r>
    <x v="286"/>
    <s v="fi"/>
    <s v="FIN"/>
    <s v="GK"/>
    <x v="8"/>
    <n v="36"/>
    <n v="1986"/>
    <n v="11"/>
    <n v="11"/>
    <n v="990"/>
    <x v="0"/>
    <n v="0"/>
    <n v="0"/>
    <n v="0"/>
    <n v="0"/>
    <n v="0"/>
    <n v="0"/>
    <m/>
    <s v="2022-2023"/>
    <n v="18"/>
  </r>
  <r>
    <x v="287"/>
    <s v="gr"/>
    <s v="GRE"/>
    <s v="MF,FW"/>
    <x v="10"/>
    <n v="24"/>
    <n v="1998"/>
    <n v="22"/>
    <n v="16"/>
    <n v="1438"/>
    <x v="5"/>
    <n v="2"/>
    <n v="3"/>
    <n v="0"/>
    <n v="0"/>
    <n v="3"/>
    <n v="0"/>
    <m/>
    <s v="2022-2023"/>
    <n v="16"/>
  </r>
  <r>
    <x v="288"/>
    <s v="es"/>
    <s v="ESP"/>
    <s v="MF"/>
    <x v="5"/>
    <n v="31"/>
    <n v="1991"/>
    <n v="2"/>
    <n v="0"/>
    <n v="17"/>
    <x v="0"/>
    <n v="0"/>
    <n v="0"/>
    <n v="0"/>
    <n v="0"/>
    <n v="0"/>
    <n v="0"/>
    <m/>
    <s v="2022-2023"/>
    <n v="47"/>
  </r>
  <r>
    <x v="289"/>
    <s v="nl"/>
    <s v="NED"/>
    <s v="MF,FW"/>
    <x v="9"/>
    <n v="23"/>
    <n v="1999"/>
    <n v="12"/>
    <n v="10"/>
    <n v="908"/>
    <x v="1"/>
    <n v="3"/>
    <n v="1"/>
    <n v="0"/>
    <n v="0"/>
    <n v="0"/>
    <n v="0"/>
    <m/>
    <s v="2022-2023"/>
    <n v="47"/>
  </r>
  <r>
    <x v="290"/>
    <s v="jm"/>
    <s v="JAM"/>
    <s v="DF"/>
    <x v="10"/>
    <n v="32"/>
    <n v="1990"/>
    <n v="10"/>
    <n v="9"/>
    <n v="828"/>
    <x v="0"/>
    <n v="0"/>
    <n v="0"/>
    <n v="0"/>
    <n v="0"/>
    <n v="1"/>
    <n v="0"/>
    <m/>
    <s v="2022-2023"/>
    <n v="16"/>
  </r>
  <r>
    <x v="291"/>
    <s v="no"/>
    <s v="NOR"/>
    <s v="MF"/>
    <x v="3"/>
    <n v="27"/>
    <n v="1995"/>
    <n v="12"/>
    <n v="3"/>
    <n v="369"/>
    <x v="0"/>
    <n v="1"/>
    <n v="0"/>
    <n v="0"/>
    <n v="0"/>
    <n v="1"/>
    <n v="0"/>
    <m/>
    <s v="2022-2023"/>
    <n v="56"/>
  </r>
  <r>
    <x v="292"/>
    <s v="fr"/>
    <s v="FRA"/>
    <s v="FW,MF"/>
    <x v="0"/>
    <n v="28"/>
    <n v="1993"/>
    <n v="22"/>
    <n v="22"/>
    <n v="1941"/>
    <x v="7"/>
    <n v="3"/>
    <n v="6"/>
    <n v="0"/>
    <n v="0"/>
    <n v="2"/>
    <n v="0"/>
    <m/>
    <s v="2022-2023"/>
    <n v="21"/>
  </r>
  <r>
    <x v="293"/>
    <s v="nl"/>
    <s v="NED"/>
    <s v="MF,FW"/>
    <x v="9"/>
    <n v="26"/>
    <n v="1996"/>
    <n v="8"/>
    <n v="5"/>
    <n v="436"/>
    <x v="8"/>
    <n v="1"/>
    <n v="4"/>
    <n v="0"/>
    <n v="0"/>
    <n v="0"/>
    <n v="0"/>
    <m/>
    <s v="2022-2023"/>
    <n v="47"/>
  </r>
  <r>
    <x v="294"/>
    <s v="be"/>
    <s v="BEL"/>
    <s v="FW,MF"/>
    <x v="11"/>
    <n v="30"/>
    <n v="1992"/>
    <n v="17"/>
    <n v="8"/>
    <n v="745"/>
    <x v="0"/>
    <n v="0"/>
    <n v="0"/>
    <n v="0"/>
    <n v="0"/>
    <n v="0"/>
    <n v="0"/>
    <m/>
    <s v="2022-2023"/>
    <n v="23"/>
  </r>
  <r>
    <x v="295"/>
    <s v="jp"/>
    <s v="JPN"/>
    <s v="MF"/>
    <x v="5"/>
    <n v="25"/>
    <n v="1997"/>
    <n v="20"/>
    <n v="20"/>
    <n v="1783"/>
    <x v="1"/>
    <n v="1"/>
    <n v="1"/>
    <n v="0"/>
    <n v="0"/>
    <n v="0"/>
    <n v="0"/>
    <m/>
    <s v="2022-2023"/>
    <n v="47"/>
  </r>
  <r>
    <x v="296"/>
    <s v="se"/>
    <s v="SWE"/>
    <s v="GK"/>
    <x v="4"/>
    <n v="26"/>
    <n v="1996"/>
    <n v="7"/>
    <n v="7"/>
    <n v="630"/>
    <x v="0"/>
    <n v="0"/>
    <n v="0"/>
    <n v="0"/>
    <n v="0"/>
    <n v="0"/>
    <n v="0"/>
    <m/>
    <s v="2022-2023"/>
    <n v="58"/>
  </r>
  <r>
    <x v="297"/>
    <s v="us"/>
    <s v="USA"/>
    <s v="DF"/>
    <x v="10"/>
    <n v="24"/>
    <n v="1998"/>
    <n v="14"/>
    <n v="14"/>
    <n v="1260"/>
    <x v="0"/>
    <n v="0"/>
    <n v="0"/>
    <n v="0"/>
    <n v="0"/>
    <n v="0"/>
    <n v="0"/>
    <m/>
    <s v="2022-2023"/>
    <n v="16"/>
  </r>
  <r>
    <x v="0"/>
    <s v="eng"/>
    <s v="ENG"/>
    <s v="MF,FW"/>
    <x v="0"/>
    <n v="26"/>
    <n v="1995"/>
    <n v="18"/>
    <n v="13"/>
    <n v="1114"/>
    <x v="1"/>
    <n v="0"/>
    <n v="1"/>
    <n v="0"/>
    <n v="0"/>
    <n v="6"/>
    <n v="0"/>
    <m/>
    <s v="2021-2022"/>
    <n v="27"/>
  </r>
  <r>
    <x v="298"/>
    <s v="sct"/>
    <s v="SCO"/>
    <s v="FW"/>
    <x v="1"/>
    <n v="25"/>
    <n v="1995"/>
    <n v="1"/>
    <n v="1"/>
    <n v="45"/>
    <x v="0"/>
    <n v="0"/>
    <n v="0"/>
    <n v="0"/>
    <n v="0"/>
    <n v="0"/>
    <n v="0"/>
    <m/>
    <s v="2021-2022"/>
    <n v="13"/>
  </r>
  <r>
    <x v="299"/>
    <m/>
    <m/>
    <s v="DF"/>
    <x v="12"/>
    <m/>
    <m/>
    <n v="7"/>
    <n v="5"/>
    <n v="446"/>
    <x v="0"/>
    <n v="0"/>
    <n v="0"/>
    <n v="0"/>
    <n v="0"/>
    <n v="1"/>
    <n v="0"/>
    <m/>
    <s v="2021-2022"/>
    <n v="11"/>
  </r>
  <r>
    <x v="1"/>
    <s v="eng"/>
    <s v="ENG"/>
    <s v="DF,MF"/>
    <x v="1"/>
    <n v="28"/>
    <n v="1993"/>
    <n v="19"/>
    <n v="18"/>
    <n v="1554"/>
    <x v="1"/>
    <n v="0"/>
    <n v="1"/>
    <n v="0"/>
    <n v="0"/>
    <n v="1"/>
    <n v="0"/>
    <m/>
    <s v="2021-2022"/>
    <n v="13"/>
  </r>
  <r>
    <x v="3"/>
    <s v="ca"/>
    <s v="CAN"/>
    <s v="FW"/>
    <x v="0"/>
    <n v="28"/>
    <n v="1992"/>
    <n v="13"/>
    <n v="11"/>
    <n v="969"/>
    <x v="2"/>
    <n v="0"/>
    <n v="2"/>
    <n v="0"/>
    <n v="0"/>
    <n v="0"/>
    <n v="0"/>
    <m/>
    <s v="2021-2022"/>
    <n v="27"/>
  </r>
  <r>
    <x v="5"/>
    <s v="eng"/>
    <s v="ENG"/>
    <s v="MF,FW"/>
    <x v="10"/>
    <n v="29"/>
    <n v="1991"/>
    <n v="22"/>
    <n v="18"/>
    <n v="1704"/>
    <x v="8"/>
    <n v="1"/>
    <n v="4"/>
    <n v="0"/>
    <n v="0"/>
    <n v="2"/>
    <n v="0"/>
    <m/>
    <s v="2021-2022"/>
    <n v="26"/>
  </r>
  <r>
    <x v="8"/>
    <s v="au"/>
    <s v="AUS"/>
    <s v="DF"/>
    <x v="5"/>
    <n v="26"/>
    <n v="1995"/>
    <n v="14"/>
    <n v="13"/>
    <n v="1152"/>
    <x v="1"/>
    <n v="0"/>
    <n v="1"/>
    <n v="0"/>
    <n v="0"/>
    <n v="0"/>
    <n v="0"/>
    <m/>
    <s v="2021-2022"/>
    <n v="47"/>
  </r>
  <r>
    <x v="9"/>
    <s v="eng"/>
    <s v="ENG"/>
    <s v="FW,MF"/>
    <x v="3"/>
    <n v="22"/>
    <n v="1999"/>
    <n v="22"/>
    <n v="19"/>
    <n v="1577"/>
    <x v="10"/>
    <n v="4"/>
    <n v="9"/>
    <n v="0"/>
    <n v="0"/>
    <n v="0"/>
    <n v="0"/>
    <m/>
    <s v="2021-2022"/>
    <n v="42"/>
  </r>
  <r>
    <x v="10"/>
    <s v="eng"/>
    <s v="ENG"/>
    <s v="DF"/>
    <x v="5"/>
    <n v="27"/>
    <n v="1993"/>
    <n v="22"/>
    <n v="22"/>
    <n v="1925"/>
    <x v="8"/>
    <n v="3"/>
    <n v="2"/>
    <n v="2"/>
    <n v="2"/>
    <n v="3"/>
    <n v="0"/>
    <m/>
    <s v="2021-2022"/>
    <n v="47"/>
  </r>
  <r>
    <x v="300"/>
    <s v="eng"/>
    <s v="ENG"/>
    <s v="FW,DF"/>
    <x v="9"/>
    <n v="16"/>
    <n v="2004"/>
    <n v="1"/>
    <n v="0"/>
    <n v="13"/>
    <x v="0"/>
    <n v="0"/>
    <n v="0"/>
    <n v="0"/>
    <n v="0"/>
    <n v="0"/>
    <n v="0"/>
    <m/>
    <s v="2021-2022"/>
    <n v="55"/>
  </r>
  <r>
    <x v="12"/>
    <s v="ch"/>
    <s v="SUI"/>
    <s v="FW"/>
    <x v="6"/>
    <n v="22"/>
    <n v="1999"/>
    <n v="21"/>
    <n v="21"/>
    <n v="1703"/>
    <x v="2"/>
    <n v="2"/>
    <n v="1"/>
    <n v="1"/>
    <n v="1"/>
    <n v="1"/>
    <n v="0"/>
    <m/>
    <s v="2021-2022"/>
    <n v="21"/>
  </r>
  <r>
    <x v="13"/>
    <s v="ru"/>
    <s v="RUS"/>
    <s v="MF,FW"/>
    <x v="4"/>
    <n v="20"/>
    <n v="2001"/>
    <n v="5"/>
    <n v="0"/>
    <n v="47"/>
    <x v="0"/>
    <n v="0"/>
    <n v="0"/>
    <n v="0"/>
    <n v="0"/>
    <n v="0"/>
    <n v="0"/>
    <m/>
    <s v="2021-2022"/>
    <n v="56"/>
  </r>
  <r>
    <x v="14"/>
    <s v="no"/>
    <s v="NOR"/>
    <s v="MF,FW"/>
    <x v="7"/>
    <n v="25"/>
    <n v="1995"/>
    <n v="20"/>
    <n v="19"/>
    <n v="1727"/>
    <x v="2"/>
    <n v="2"/>
    <n v="2"/>
    <n v="0"/>
    <n v="0"/>
    <n v="1"/>
    <n v="0"/>
    <m/>
    <s v="2021-2022"/>
    <n v="25"/>
  </r>
  <r>
    <x v="301"/>
    <s v="eng"/>
    <s v="ENG"/>
    <s v="MF,FW"/>
    <x v="8"/>
    <n v="21"/>
    <n v="1999"/>
    <n v="19"/>
    <n v="1"/>
    <n v="347"/>
    <x v="1"/>
    <n v="0"/>
    <n v="1"/>
    <n v="0"/>
    <n v="1"/>
    <n v="0"/>
    <n v="0"/>
    <m/>
    <s v="2021-2022"/>
    <n v="32"/>
  </r>
  <r>
    <x v="19"/>
    <s v="nl"/>
    <s v="NED"/>
    <s v="DF"/>
    <x v="4"/>
    <n v="22"/>
    <n v="1999"/>
    <n v="14"/>
    <n v="12"/>
    <n v="976"/>
    <x v="1"/>
    <n v="0"/>
    <n v="1"/>
    <n v="0"/>
    <n v="0"/>
    <n v="0"/>
    <n v="0"/>
    <m/>
    <s v="2021-2022"/>
    <n v="56"/>
  </r>
  <r>
    <x v="302"/>
    <s v="eng"/>
    <s v="ENG"/>
    <s v="DF"/>
    <x v="6"/>
    <n v="36"/>
    <n v="1985"/>
    <n v="21"/>
    <n v="21"/>
    <n v="1889"/>
    <x v="1"/>
    <n v="0"/>
    <n v="1"/>
    <n v="0"/>
    <n v="0"/>
    <n v="2"/>
    <n v="0"/>
    <m/>
    <s v="2021-2022"/>
    <n v="21"/>
  </r>
  <r>
    <x v="303"/>
    <s v="se"/>
    <s v="SWE"/>
    <s v="FW,MF"/>
    <x v="2"/>
    <n v="24"/>
    <n v="1997"/>
    <n v="14"/>
    <n v="12"/>
    <n v="936"/>
    <x v="8"/>
    <n v="1"/>
    <n v="4"/>
    <n v="0"/>
    <n v="0"/>
    <n v="0"/>
    <n v="0"/>
    <m/>
    <s v="2021-2022"/>
    <n v="20"/>
  </r>
  <r>
    <x v="20"/>
    <s v="nz"/>
    <s v="NZL"/>
    <s v="GK"/>
    <x v="0"/>
    <n v="20"/>
    <n v="2001"/>
    <n v="4"/>
    <n v="4"/>
    <n v="360"/>
    <x v="0"/>
    <n v="0"/>
    <n v="0"/>
    <n v="0"/>
    <n v="0"/>
    <n v="0"/>
    <n v="0"/>
    <m/>
    <s v="2021-2022"/>
    <n v="27"/>
  </r>
  <r>
    <x v="21"/>
    <s v="eng"/>
    <s v="ENG"/>
    <s v="DF"/>
    <x v="9"/>
    <n v="22"/>
    <n v="1999"/>
    <n v="4"/>
    <n v="1"/>
    <n v="129"/>
    <x v="0"/>
    <n v="0"/>
    <n v="0"/>
    <n v="0"/>
    <n v="0"/>
    <n v="0"/>
    <n v="0"/>
    <m/>
    <s v="2021-2022"/>
    <n v="55"/>
  </r>
  <r>
    <x v="21"/>
    <s v="eng"/>
    <s v="ENG"/>
    <s v="DF"/>
    <x v="6"/>
    <n v="22"/>
    <n v="1999"/>
    <n v="7"/>
    <n v="7"/>
    <n v="630"/>
    <x v="0"/>
    <n v="0"/>
    <n v="0"/>
    <n v="0"/>
    <n v="0"/>
    <n v="0"/>
    <n v="0"/>
    <m/>
    <s v="2021-2022"/>
    <n v="21"/>
  </r>
  <r>
    <x v="22"/>
    <s v="de"/>
    <s v="GER"/>
    <s v="GK"/>
    <x v="4"/>
    <n v="30"/>
    <n v="1990"/>
    <n v="14"/>
    <n v="14"/>
    <n v="1188"/>
    <x v="0"/>
    <n v="0"/>
    <n v="0"/>
    <n v="0"/>
    <n v="0"/>
    <n v="1"/>
    <n v="1"/>
    <m/>
    <s v="2021-2022"/>
    <n v="56"/>
  </r>
  <r>
    <x v="24"/>
    <s v="ie"/>
    <s v="IRL"/>
    <s v="DF"/>
    <x v="3"/>
    <n v="25"/>
    <n v="1995"/>
    <n v="12"/>
    <n v="12"/>
    <n v="1080"/>
    <x v="0"/>
    <n v="0"/>
    <n v="0"/>
    <n v="0"/>
    <n v="0"/>
    <n v="0"/>
    <n v="0"/>
    <m/>
    <s v="2021-2022"/>
    <n v="42"/>
  </r>
  <r>
    <x v="304"/>
    <m/>
    <m/>
    <s v="DF"/>
    <x v="12"/>
    <m/>
    <m/>
    <n v="1"/>
    <n v="0"/>
    <n v="5"/>
    <x v="0"/>
    <n v="0"/>
    <n v="0"/>
    <n v="0"/>
    <n v="0"/>
    <n v="0"/>
    <n v="0"/>
    <m/>
    <s v="2021-2022"/>
    <n v="11"/>
  </r>
  <r>
    <x v="25"/>
    <s v="eng"/>
    <s v="ENG"/>
    <s v="DF,MF"/>
    <x v="8"/>
    <n v="28"/>
    <n v="1993"/>
    <n v="21"/>
    <n v="20"/>
    <n v="1839"/>
    <x v="5"/>
    <n v="2"/>
    <n v="3"/>
    <n v="0"/>
    <n v="0"/>
    <n v="4"/>
    <n v="0"/>
    <m/>
    <s v="2021-2022"/>
    <n v="32"/>
  </r>
  <r>
    <x v="26"/>
    <s v="ng"/>
    <s v="NGA"/>
    <s v="DF"/>
    <x v="1"/>
    <n v="23"/>
    <n v="1998"/>
    <n v="20"/>
    <n v="20"/>
    <n v="1740"/>
    <x v="1"/>
    <n v="1"/>
    <n v="1"/>
    <n v="0"/>
    <n v="0"/>
    <n v="3"/>
    <n v="0"/>
    <m/>
    <s v="2021-2022"/>
    <n v="13"/>
  </r>
  <r>
    <x v="27"/>
    <s v="eng"/>
    <s v="ENG"/>
    <s v="DF,MF"/>
    <x v="8"/>
    <n v="19"/>
    <n v="2001"/>
    <n v="13"/>
    <n v="10"/>
    <n v="961"/>
    <x v="1"/>
    <n v="0"/>
    <n v="1"/>
    <n v="0"/>
    <n v="0"/>
    <n v="3"/>
    <n v="0"/>
    <m/>
    <s v="2021-2022"/>
    <n v="32"/>
  </r>
  <r>
    <x v="28"/>
    <s v="it"/>
    <s v="ITA"/>
    <s v="MF"/>
    <x v="2"/>
    <n v="24"/>
    <n v="1996"/>
    <n v="18"/>
    <n v="18"/>
    <n v="1435"/>
    <x v="1"/>
    <n v="0"/>
    <n v="1"/>
    <n v="0"/>
    <n v="0"/>
    <n v="1"/>
    <n v="0"/>
    <m/>
    <s v="2021-2022"/>
    <n v="20"/>
  </r>
  <r>
    <x v="29"/>
    <s v="eng"/>
    <s v="ENG"/>
    <s v="FW,MF"/>
    <x v="1"/>
    <n v="15"/>
    <n v="2006"/>
    <n v="2"/>
    <n v="0"/>
    <n v="29"/>
    <x v="0"/>
    <n v="0"/>
    <n v="0"/>
    <n v="0"/>
    <n v="0"/>
    <n v="0"/>
    <n v="0"/>
    <m/>
    <s v="2021-2022"/>
    <n v="13"/>
  </r>
  <r>
    <x v="30"/>
    <s v="eng"/>
    <s v="ENG"/>
    <s v="FW,MF"/>
    <x v="9"/>
    <n v="26"/>
    <n v="1995"/>
    <n v="22"/>
    <n v="20"/>
    <n v="1722"/>
    <x v="14"/>
    <n v="8"/>
    <n v="11"/>
    <n v="0"/>
    <n v="0"/>
    <n v="1"/>
    <n v="0"/>
    <m/>
    <s v="2021-2022"/>
    <n v="55"/>
  </r>
  <r>
    <x v="305"/>
    <s v="wls"/>
    <s v="WAL"/>
    <s v="DF,FW"/>
    <x v="7"/>
    <n v="18"/>
    <n v="2003"/>
    <n v="4"/>
    <n v="0"/>
    <n v="68"/>
    <x v="0"/>
    <n v="0"/>
    <n v="0"/>
    <n v="0"/>
    <n v="0"/>
    <n v="0"/>
    <n v="0"/>
    <m/>
    <s v="2021-2022"/>
    <n v="25"/>
  </r>
  <r>
    <x v="31"/>
    <s v="eng"/>
    <s v="ENG"/>
    <s v="FW"/>
    <x v="4"/>
    <n v="27"/>
    <n v="1994"/>
    <n v="20"/>
    <n v="11"/>
    <n v="870"/>
    <x v="12"/>
    <n v="4"/>
    <n v="7"/>
    <n v="1"/>
    <n v="1"/>
    <n v="0"/>
    <n v="0"/>
    <m/>
    <s v="2021-2022"/>
    <n v="56"/>
  </r>
  <r>
    <x v="306"/>
    <s v="eng"/>
    <s v="ENG"/>
    <s v="FW"/>
    <x v="0"/>
    <n v="18"/>
    <n v="2003"/>
    <n v="1"/>
    <n v="0"/>
    <n v="1"/>
    <x v="0"/>
    <n v="0"/>
    <n v="0"/>
    <n v="0"/>
    <n v="0"/>
    <n v="0"/>
    <n v="0"/>
    <m/>
    <s v="2021-2022"/>
    <n v="27"/>
  </r>
  <r>
    <x v="307"/>
    <s v="eng"/>
    <s v="ENG"/>
    <s v="MF,FW"/>
    <x v="7"/>
    <n v="32"/>
    <n v="1989"/>
    <n v="8"/>
    <n v="8"/>
    <n v="720"/>
    <x v="0"/>
    <n v="0"/>
    <n v="0"/>
    <n v="0"/>
    <n v="0"/>
    <n v="1"/>
    <n v="0"/>
    <m/>
    <s v="2021-2022"/>
    <n v="25"/>
  </r>
  <r>
    <x v="34"/>
    <s v="au"/>
    <s v="AUS"/>
    <s v="FW,MF"/>
    <x v="9"/>
    <n v="26"/>
    <n v="1994"/>
    <n v="16"/>
    <n v="9"/>
    <n v="795"/>
    <x v="8"/>
    <n v="3"/>
    <n v="4"/>
    <n v="0"/>
    <n v="0"/>
    <n v="2"/>
    <n v="0"/>
    <m/>
    <s v="2021-2022"/>
    <n v="55"/>
  </r>
  <r>
    <x v="308"/>
    <s v="sct"/>
    <s v="SCO"/>
    <s v="MF"/>
    <x v="5"/>
    <n v="26"/>
    <n v="1995"/>
    <n v="19"/>
    <n v="17"/>
    <n v="1457"/>
    <x v="7"/>
    <n v="5"/>
    <n v="6"/>
    <n v="0"/>
    <n v="0"/>
    <n v="1"/>
    <n v="0"/>
    <m/>
    <s v="2021-2022"/>
    <n v="47"/>
  </r>
  <r>
    <x v="36"/>
    <s v="wls"/>
    <s v="WAL"/>
    <s v="FW"/>
    <x v="3"/>
    <n v="17"/>
    <n v="2003"/>
    <n v="3"/>
    <n v="0"/>
    <n v="24"/>
    <x v="0"/>
    <n v="0"/>
    <n v="0"/>
    <n v="0"/>
    <n v="0"/>
    <n v="0"/>
    <n v="0"/>
    <m/>
    <s v="2021-2022"/>
    <n v="42"/>
  </r>
  <r>
    <x v="309"/>
    <s v="dk"/>
    <s v="DEN"/>
    <s v="DF"/>
    <x v="12"/>
    <n v="31"/>
    <n v="1990"/>
    <n v="5"/>
    <n v="5"/>
    <n v="421"/>
    <x v="0"/>
    <n v="0"/>
    <n v="0"/>
    <n v="0"/>
    <n v="0"/>
    <n v="0"/>
    <n v="0"/>
    <m/>
    <s v="2021-2022"/>
    <n v="11"/>
  </r>
  <r>
    <x v="39"/>
    <s v="eng"/>
    <s v="ENG"/>
    <s v="FW,MF"/>
    <x v="6"/>
    <n v="25"/>
    <n v="1995"/>
    <n v="18"/>
    <n v="11"/>
    <n v="996"/>
    <x v="0"/>
    <n v="0"/>
    <n v="0"/>
    <n v="0"/>
    <n v="0"/>
    <n v="1"/>
    <n v="0"/>
    <m/>
    <s v="2021-2022"/>
    <n v="21"/>
  </r>
  <r>
    <x v="310"/>
    <s v="eng"/>
    <s v="ENG"/>
    <s v="MF,FW"/>
    <x v="1"/>
    <n v="23"/>
    <n v="1998"/>
    <n v="6"/>
    <n v="0"/>
    <n v="174"/>
    <x v="0"/>
    <n v="0"/>
    <n v="0"/>
    <n v="0"/>
    <n v="0"/>
    <n v="1"/>
    <n v="0"/>
    <m/>
    <s v="2021-2022"/>
    <n v="13"/>
  </r>
  <r>
    <x v="43"/>
    <s v="eng"/>
    <s v="ENG"/>
    <s v="FW,MF"/>
    <x v="8"/>
    <n v="28"/>
    <n v="1992"/>
    <n v="10"/>
    <n v="4"/>
    <n v="494"/>
    <x v="0"/>
    <n v="1"/>
    <n v="0"/>
    <n v="0"/>
    <n v="0"/>
    <n v="1"/>
    <n v="0"/>
    <m/>
    <s v="2021-2022"/>
    <n v="32"/>
  </r>
  <r>
    <x v="311"/>
    <s v="sct"/>
    <s v="SCO"/>
    <s v="MF,FW"/>
    <x v="6"/>
    <n v="26"/>
    <n v="1995"/>
    <n v="17"/>
    <n v="12"/>
    <n v="973"/>
    <x v="0"/>
    <n v="0"/>
    <n v="0"/>
    <n v="0"/>
    <n v="0"/>
    <n v="1"/>
    <n v="0"/>
    <m/>
    <s v="2021-2022"/>
    <n v="21"/>
  </r>
  <r>
    <x v="44"/>
    <s v="eng"/>
    <s v="ENG"/>
    <s v="FW"/>
    <x v="5"/>
    <n v="23"/>
    <n v="1998"/>
    <n v="5"/>
    <n v="3"/>
    <n v="302"/>
    <x v="1"/>
    <n v="3"/>
    <n v="1"/>
    <n v="0"/>
    <n v="0"/>
    <n v="0"/>
    <n v="0"/>
    <m/>
    <s v="2021-2022"/>
    <n v="47"/>
  </r>
  <r>
    <x v="312"/>
    <s v="eng"/>
    <s v="ENG"/>
    <s v="MF,DF"/>
    <x v="7"/>
    <n v="22"/>
    <n v="1998"/>
    <n v="13"/>
    <n v="8"/>
    <n v="792"/>
    <x v="0"/>
    <n v="0"/>
    <n v="0"/>
    <n v="0"/>
    <n v="0"/>
    <n v="0"/>
    <n v="0"/>
    <m/>
    <s v="2021-2022"/>
    <n v="25"/>
  </r>
  <r>
    <x v="45"/>
    <s v="kr"/>
    <s v="KOR"/>
    <s v="MF,FW"/>
    <x v="8"/>
    <n v="33"/>
    <n v="1988"/>
    <n v="12"/>
    <n v="7"/>
    <n v="606"/>
    <x v="0"/>
    <n v="0"/>
    <n v="0"/>
    <n v="0"/>
    <n v="0"/>
    <n v="0"/>
    <n v="0"/>
    <m/>
    <s v="2021-2022"/>
    <n v="32"/>
  </r>
  <r>
    <x v="313"/>
    <s v="sct"/>
    <s v="SCO"/>
    <s v="MF"/>
    <x v="12"/>
    <n v="31"/>
    <n v="1990"/>
    <n v="17"/>
    <n v="17"/>
    <n v="1517"/>
    <x v="1"/>
    <n v="0"/>
    <n v="0"/>
    <n v="1"/>
    <n v="1"/>
    <n v="0"/>
    <n v="0"/>
    <m/>
    <s v="2021-2022"/>
    <n v="11"/>
  </r>
  <r>
    <x v="46"/>
    <s v="nz"/>
    <s v="NZL"/>
    <s v="DF"/>
    <x v="1"/>
    <n v="26"/>
    <n v="1995"/>
    <n v="2"/>
    <n v="0"/>
    <n v="58"/>
    <x v="0"/>
    <n v="0"/>
    <n v="0"/>
    <n v="0"/>
    <n v="0"/>
    <n v="0"/>
    <n v="0"/>
    <m/>
    <s v="2021-2022"/>
    <n v="13"/>
  </r>
  <r>
    <x v="314"/>
    <s v="sct"/>
    <s v="SCO"/>
    <s v="FW,MF"/>
    <x v="2"/>
    <n v="27"/>
    <n v="1994"/>
    <n v="18"/>
    <n v="12"/>
    <n v="1025"/>
    <x v="2"/>
    <n v="1"/>
    <n v="2"/>
    <n v="0"/>
    <n v="0"/>
    <n v="0"/>
    <n v="0"/>
    <m/>
    <s v="2021-2022"/>
    <n v="20"/>
  </r>
  <r>
    <x v="48"/>
    <s v="eng"/>
    <s v="ENG"/>
    <s v="FW"/>
    <x v="0"/>
    <n v="25"/>
    <n v="1996"/>
    <n v="20"/>
    <n v="16"/>
    <n v="1350"/>
    <x v="5"/>
    <n v="0"/>
    <n v="3"/>
    <n v="0"/>
    <n v="0"/>
    <n v="3"/>
    <n v="0"/>
    <m/>
    <s v="2021-2022"/>
    <n v="27"/>
  </r>
  <r>
    <x v="49"/>
    <s v="eng"/>
    <s v="ENG"/>
    <s v="FW"/>
    <x v="1"/>
    <n v="22"/>
    <n v="1999"/>
    <n v="1"/>
    <n v="0"/>
    <n v="26"/>
    <x v="0"/>
    <n v="0"/>
    <n v="0"/>
    <n v="0"/>
    <n v="0"/>
    <n v="0"/>
    <n v="0"/>
    <m/>
    <s v="2021-2022"/>
    <n v="13"/>
  </r>
  <r>
    <x v="50"/>
    <s v="ie"/>
    <s v="IRL"/>
    <s v="GK"/>
    <x v="2"/>
    <n v="25"/>
    <n v="1995"/>
    <n v="4"/>
    <n v="4"/>
    <n v="360"/>
    <x v="0"/>
    <n v="0"/>
    <n v="0"/>
    <n v="0"/>
    <n v="0"/>
    <n v="0"/>
    <n v="0"/>
    <m/>
    <s v="2021-2022"/>
    <n v="20"/>
  </r>
  <r>
    <x v="52"/>
    <s v="is"/>
    <s v="ISL"/>
    <s v="MF,FW"/>
    <x v="0"/>
    <n v="29"/>
    <n v="1991"/>
    <n v="20"/>
    <n v="19"/>
    <n v="1677"/>
    <x v="8"/>
    <n v="1"/>
    <n v="4"/>
    <n v="0"/>
    <n v="0"/>
    <n v="1"/>
    <n v="0"/>
    <m/>
    <s v="2021-2022"/>
    <n v="27"/>
  </r>
  <r>
    <x v="315"/>
    <s v="eng"/>
    <s v="ENG"/>
    <s v="DF"/>
    <x v="10"/>
    <n v="32"/>
    <n v="1988"/>
    <n v="2"/>
    <n v="0"/>
    <n v="78"/>
    <x v="0"/>
    <n v="0"/>
    <n v="0"/>
    <n v="0"/>
    <n v="0"/>
    <n v="0"/>
    <n v="0"/>
    <m/>
    <s v="2021-2022"/>
    <n v="26"/>
  </r>
  <r>
    <x v="53"/>
    <s v="eng"/>
    <s v="ENG"/>
    <s v="FW,MF"/>
    <x v="10"/>
    <n v="28"/>
    <n v="1993"/>
    <n v="21"/>
    <n v="17"/>
    <n v="1440"/>
    <x v="2"/>
    <n v="1"/>
    <n v="2"/>
    <n v="0"/>
    <n v="0"/>
    <n v="2"/>
    <n v="0"/>
    <m/>
    <s v="2021-2022"/>
    <n v="26"/>
  </r>
  <r>
    <x v="54"/>
    <s v="eng"/>
    <s v="ENG"/>
    <s v="DF"/>
    <x v="2"/>
    <n v="30"/>
    <n v="1991"/>
    <n v="21"/>
    <n v="19"/>
    <n v="1725"/>
    <x v="2"/>
    <n v="0"/>
    <n v="2"/>
    <n v="0"/>
    <n v="0"/>
    <n v="3"/>
    <n v="0"/>
    <m/>
    <s v="2021-2022"/>
    <n v="20"/>
  </r>
  <r>
    <x v="316"/>
    <s v="nl"/>
    <s v="NED"/>
    <s v="DF"/>
    <x v="10"/>
    <n v="25"/>
    <n v="1996"/>
    <n v="20"/>
    <n v="17"/>
    <n v="1347"/>
    <x v="0"/>
    <n v="0"/>
    <n v="0"/>
    <n v="0"/>
    <n v="0"/>
    <n v="1"/>
    <n v="0"/>
    <m/>
    <s v="2021-2022"/>
    <n v="26"/>
  </r>
  <r>
    <x v="55"/>
    <s v="eng"/>
    <s v="ENG"/>
    <s v="DF"/>
    <x v="7"/>
    <n v="28"/>
    <n v="1993"/>
    <n v="17"/>
    <n v="16"/>
    <n v="1310"/>
    <x v="0"/>
    <n v="0"/>
    <n v="0"/>
    <n v="0"/>
    <n v="0"/>
    <n v="0"/>
    <n v="0"/>
    <m/>
    <s v="2021-2022"/>
    <n v="25"/>
  </r>
  <r>
    <x v="56"/>
    <s v="ca"/>
    <s v="CAN"/>
    <s v="FW,MF"/>
    <x v="7"/>
    <n v="22"/>
    <n v="1999"/>
    <n v="21"/>
    <n v="19"/>
    <n v="1675"/>
    <x v="8"/>
    <n v="3"/>
    <n v="4"/>
    <n v="0"/>
    <n v="0"/>
    <n v="1"/>
    <n v="0"/>
    <m/>
    <s v="2021-2022"/>
    <n v="25"/>
  </r>
  <r>
    <x v="58"/>
    <s v="eng"/>
    <s v="ENG"/>
    <s v="GK"/>
    <x v="1"/>
    <n v="25"/>
    <n v="1996"/>
    <n v="14"/>
    <n v="14"/>
    <n v="1260"/>
    <x v="0"/>
    <n v="0"/>
    <n v="0"/>
    <n v="0"/>
    <n v="0"/>
    <n v="0"/>
    <n v="0"/>
    <m/>
    <s v="2021-2022"/>
    <n v="13"/>
  </r>
  <r>
    <x v="59"/>
    <s v="eng"/>
    <s v="ENG"/>
    <s v="DF"/>
    <x v="5"/>
    <n v="29"/>
    <n v="1991"/>
    <n v="19"/>
    <n v="18"/>
    <n v="1536"/>
    <x v="1"/>
    <n v="2"/>
    <n v="1"/>
    <n v="0"/>
    <n v="0"/>
    <n v="1"/>
    <n v="0"/>
    <m/>
    <s v="2021-2022"/>
    <n v="47"/>
  </r>
  <r>
    <x v="62"/>
    <s v="ie"/>
    <s v="IRL"/>
    <s v="DF"/>
    <x v="3"/>
    <n v="32"/>
    <n v="1988"/>
    <n v="5"/>
    <n v="5"/>
    <n v="450"/>
    <x v="0"/>
    <n v="0"/>
    <n v="0"/>
    <n v="0"/>
    <n v="0"/>
    <n v="3"/>
    <n v="0"/>
    <m/>
    <s v="2021-2022"/>
    <n v="42"/>
  </r>
  <r>
    <x v="63"/>
    <s v="jm"/>
    <s v="JAM"/>
    <s v="MF"/>
    <x v="4"/>
    <n v="28"/>
    <n v="1992"/>
    <n v="16"/>
    <n v="5"/>
    <n v="435"/>
    <x v="1"/>
    <n v="1"/>
    <n v="1"/>
    <n v="0"/>
    <n v="0"/>
    <n v="0"/>
    <n v="0"/>
    <m/>
    <s v="2021-2022"/>
    <n v="56"/>
  </r>
  <r>
    <x v="317"/>
    <s v="ie"/>
    <s v="IRL"/>
    <s v="FW"/>
    <x v="12"/>
    <n v="23"/>
    <n v="1998"/>
    <n v="12"/>
    <n v="3"/>
    <n v="335"/>
    <x v="0"/>
    <n v="0"/>
    <n v="0"/>
    <n v="0"/>
    <n v="0"/>
    <n v="0"/>
    <n v="0"/>
    <m/>
    <s v="2021-2022"/>
    <n v="11"/>
  </r>
  <r>
    <x v="318"/>
    <s v="eng"/>
    <s v="ENG"/>
    <s v="DF"/>
    <x v="6"/>
    <n v="24"/>
    <n v="1996"/>
    <n v="7"/>
    <n v="5"/>
    <n v="495"/>
    <x v="0"/>
    <n v="0"/>
    <n v="0"/>
    <n v="0"/>
    <n v="0"/>
    <n v="0"/>
    <n v="0"/>
    <m/>
    <s v="2021-2022"/>
    <n v="21"/>
  </r>
  <r>
    <x v="68"/>
    <s v="eng"/>
    <s v="ENG"/>
    <s v="MF,FW"/>
    <x v="3"/>
    <n v="21"/>
    <n v="1999"/>
    <n v="22"/>
    <n v="22"/>
    <n v="1897"/>
    <x v="9"/>
    <n v="8"/>
    <n v="7"/>
    <n v="0"/>
    <n v="0"/>
    <n v="3"/>
    <n v="0"/>
    <m/>
    <s v="2021-2022"/>
    <n v="42"/>
  </r>
  <r>
    <x v="319"/>
    <s v="eng"/>
    <s v="ENG"/>
    <s v="FW"/>
    <x v="5"/>
    <n v="32"/>
    <n v="1989"/>
    <n v="22"/>
    <n v="13"/>
    <n v="1220"/>
    <x v="8"/>
    <n v="4"/>
    <n v="4"/>
    <n v="0"/>
    <n v="0"/>
    <n v="1"/>
    <n v="0"/>
    <m/>
    <s v="2021-2022"/>
    <n v="47"/>
  </r>
  <r>
    <x v="69"/>
    <s v="eng"/>
    <s v="ENG"/>
    <s v="FW,MF"/>
    <x v="10"/>
    <n v="22"/>
    <n v="1999"/>
    <n v="19"/>
    <n v="12"/>
    <n v="979"/>
    <x v="0"/>
    <n v="1"/>
    <n v="0"/>
    <n v="0"/>
    <n v="0"/>
    <n v="1"/>
    <n v="0"/>
    <m/>
    <s v="2021-2022"/>
    <n v="26"/>
  </r>
  <r>
    <x v="70"/>
    <s v="eng"/>
    <s v="ENG"/>
    <s v="GK"/>
    <x v="5"/>
    <n v="21"/>
    <n v="1999"/>
    <n v="10"/>
    <n v="10"/>
    <n v="896"/>
    <x v="0"/>
    <n v="0"/>
    <n v="0"/>
    <n v="0"/>
    <n v="0"/>
    <n v="1"/>
    <n v="0"/>
    <m/>
    <s v="2021-2022"/>
    <n v="47"/>
  </r>
  <r>
    <x v="320"/>
    <s v="eng"/>
    <s v="ENG"/>
    <s v="MF"/>
    <x v="1"/>
    <n v="17"/>
    <n v="2004"/>
    <n v="2"/>
    <n v="0"/>
    <n v="16"/>
    <x v="0"/>
    <n v="0"/>
    <n v="0"/>
    <n v="0"/>
    <n v="0"/>
    <n v="0"/>
    <n v="0"/>
    <m/>
    <s v="2021-2022"/>
    <n v="13"/>
  </r>
  <r>
    <x v="71"/>
    <s v="au"/>
    <s v="AUS"/>
    <s v="FW"/>
    <x v="6"/>
    <n v="29"/>
    <n v="1992"/>
    <n v="15"/>
    <n v="13"/>
    <n v="1076"/>
    <x v="2"/>
    <n v="0"/>
    <n v="2"/>
    <n v="0"/>
    <n v="0"/>
    <n v="0"/>
    <n v="0"/>
    <m/>
    <s v="2021-2022"/>
    <n v="21"/>
  </r>
  <r>
    <x v="72"/>
    <s v="eng"/>
    <s v="ENG"/>
    <s v="GK"/>
    <x v="12"/>
    <n v="20"/>
    <n v="2000"/>
    <n v="15"/>
    <n v="15"/>
    <n v="1285"/>
    <x v="0"/>
    <n v="0"/>
    <n v="0"/>
    <n v="0"/>
    <n v="0"/>
    <n v="1"/>
    <n v="1"/>
    <m/>
    <s v="2021-2022"/>
    <n v="11"/>
  </r>
  <r>
    <x v="321"/>
    <s v="eng"/>
    <s v="ENG"/>
    <s v="MF"/>
    <x v="10"/>
    <n v="31"/>
    <n v="1990"/>
    <n v="12"/>
    <n v="6"/>
    <n v="484"/>
    <x v="0"/>
    <n v="1"/>
    <n v="0"/>
    <n v="0"/>
    <n v="0"/>
    <n v="2"/>
    <n v="0"/>
    <m/>
    <s v="2021-2022"/>
    <n v="26"/>
  </r>
  <r>
    <x v="322"/>
    <s v="ie"/>
    <s v="IRL"/>
    <s v="FW,MF"/>
    <x v="12"/>
    <n v="18"/>
    <n v="2002"/>
    <n v="19"/>
    <n v="3"/>
    <n v="496"/>
    <x v="0"/>
    <n v="0"/>
    <n v="0"/>
    <n v="0"/>
    <n v="0"/>
    <n v="0"/>
    <n v="0"/>
    <m/>
    <s v="2021-2022"/>
    <n v="11"/>
  </r>
  <r>
    <x v="73"/>
    <s v="eng"/>
    <s v="ENG"/>
    <s v="MF,FW"/>
    <x v="7"/>
    <n v="19"/>
    <n v="2002"/>
    <n v="19"/>
    <n v="12"/>
    <n v="1124"/>
    <x v="5"/>
    <n v="1"/>
    <n v="3"/>
    <n v="0"/>
    <n v="0"/>
    <n v="0"/>
    <n v="0"/>
    <m/>
    <s v="2021-2022"/>
    <n v="25"/>
  </r>
  <r>
    <x v="74"/>
    <s v="fi"/>
    <s v="FIN"/>
    <s v="DF,MF"/>
    <x v="10"/>
    <n v="26"/>
    <n v="1994"/>
    <n v="22"/>
    <n v="21"/>
    <n v="1909"/>
    <x v="5"/>
    <n v="0"/>
    <n v="3"/>
    <n v="0"/>
    <n v="0"/>
    <n v="1"/>
    <n v="0"/>
    <m/>
    <s v="2021-2022"/>
    <n v="26"/>
  </r>
  <r>
    <x v="75"/>
    <s v="se"/>
    <s v="SWE"/>
    <s v="DF"/>
    <x v="10"/>
    <n v="29"/>
    <n v="1991"/>
    <n v="13"/>
    <n v="11"/>
    <n v="984"/>
    <x v="0"/>
    <n v="0"/>
    <n v="0"/>
    <n v="0"/>
    <n v="0"/>
    <n v="1"/>
    <n v="0"/>
    <m/>
    <s v="2021-2022"/>
    <n v="26"/>
  </r>
  <r>
    <x v="77"/>
    <s v="dk"/>
    <s v="DEN"/>
    <s v="MF,FW"/>
    <x v="0"/>
    <n v="20"/>
    <n v="2001"/>
    <n v="8"/>
    <n v="5"/>
    <n v="460"/>
    <x v="1"/>
    <n v="1"/>
    <n v="1"/>
    <n v="0"/>
    <n v="0"/>
    <n v="1"/>
    <n v="0"/>
    <m/>
    <s v="2021-2022"/>
    <n v="27"/>
  </r>
  <r>
    <x v="78"/>
    <s v="sct"/>
    <s v="SCO"/>
    <s v="MF,FW"/>
    <x v="4"/>
    <n v="23"/>
    <n v="1998"/>
    <n v="20"/>
    <n v="17"/>
    <n v="1513"/>
    <x v="8"/>
    <n v="4"/>
    <n v="4"/>
    <n v="0"/>
    <n v="0"/>
    <n v="0"/>
    <n v="0"/>
    <m/>
    <s v="2021-2022"/>
    <n v="56"/>
  </r>
  <r>
    <x v="80"/>
    <s v="eng"/>
    <s v="ENG"/>
    <s v="DF"/>
    <x v="5"/>
    <n v="20"/>
    <n v="2000"/>
    <n v="2"/>
    <n v="2"/>
    <n v="104"/>
    <x v="0"/>
    <n v="0"/>
    <n v="0"/>
    <n v="0"/>
    <n v="0"/>
    <n v="1"/>
    <n v="0"/>
    <m/>
    <s v="2021-2022"/>
    <n v="47"/>
  </r>
  <r>
    <x v="323"/>
    <s v="nl"/>
    <s v="NED"/>
    <s v="DF,MF"/>
    <x v="1"/>
    <n v="23"/>
    <n v="1997"/>
    <n v="21"/>
    <n v="18"/>
    <n v="1615"/>
    <x v="0"/>
    <n v="0"/>
    <n v="0"/>
    <n v="0"/>
    <n v="0"/>
    <n v="1"/>
    <n v="0"/>
    <m/>
    <s v="2021-2022"/>
    <n v="13"/>
  </r>
  <r>
    <x v="324"/>
    <s v="wls"/>
    <s v="WAL"/>
    <s v="MF"/>
    <x v="1"/>
    <n v="18"/>
    <n v="2002"/>
    <n v="2"/>
    <n v="0"/>
    <n v="25"/>
    <x v="0"/>
    <n v="0"/>
    <n v="0"/>
    <n v="0"/>
    <n v="0"/>
    <n v="0"/>
    <n v="0"/>
    <m/>
    <s v="2021-2022"/>
    <n v="13"/>
  </r>
  <r>
    <x v="83"/>
    <s v="fi"/>
    <s v="FIN"/>
    <s v="MF,FW"/>
    <x v="8"/>
    <n v="23"/>
    <n v="1998"/>
    <n v="10"/>
    <n v="7"/>
    <n v="704"/>
    <x v="0"/>
    <n v="1"/>
    <n v="0"/>
    <n v="0"/>
    <n v="0"/>
    <n v="3"/>
    <n v="0"/>
    <m/>
    <s v="2021-2022"/>
    <n v="32"/>
  </r>
  <r>
    <x v="85"/>
    <s v="eng"/>
    <s v="ENG"/>
    <s v="DF,MF"/>
    <x v="7"/>
    <n v="24"/>
    <n v="1997"/>
    <n v="20"/>
    <n v="20"/>
    <n v="1799"/>
    <x v="1"/>
    <n v="0"/>
    <n v="1"/>
    <n v="0"/>
    <n v="0"/>
    <n v="2"/>
    <n v="0"/>
    <m/>
    <s v="2021-2022"/>
    <n v="25"/>
  </r>
  <r>
    <x v="325"/>
    <s v="eng"/>
    <s v="ENG"/>
    <s v="DF"/>
    <x v="10"/>
    <n v="27"/>
    <n v="1994"/>
    <n v="15"/>
    <n v="10"/>
    <n v="856"/>
    <x v="0"/>
    <n v="0"/>
    <n v="0"/>
    <n v="0"/>
    <n v="0"/>
    <n v="0"/>
    <n v="0"/>
    <m/>
    <s v="2021-2022"/>
    <n v="26"/>
  </r>
  <r>
    <x v="87"/>
    <s v="se"/>
    <s v="SWE"/>
    <s v="MF"/>
    <x v="5"/>
    <n v="24"/>
    <n v="1997"/>
    <n v="15"/>
    <n v="6"/>
    <n v="652"/>
    <x v="0"/>
    <n v="0"/>
    <n v="0"/>
    <n v="0"/>
    <n v="0"/>
    <n v="0"/>
    <n v="0"/>
    <m/>
    <s v="2021-2022"/>
    <n v="47"/>
  </r>
  <r>
    <x v="88"/>
    <s v="eng"/>
    <s v="ENG"/>
    <s v="FW"/>
    <x v="4"/>
    <n v="28"/>
    <n v="1993"/>
    <n v="13"/>
    <n v="9"/>
    <n v="858"/>
    <x v="7"/>
    <n v="6"/>
    <n v="6"/>
    <n v="0"/>
    <n v="0"/>
    <n v="0"/>
    <n v="0"/>
    <m/>
    <s v="2021-2022"/>
    <n v="56"/>
  </r>
  <r>
    <x v="90"/>
    <s v="eng"/>
    <s v="ENG"/>
    <s v="MF,FW"/>
    <x v="1"/>
    <n v="18"/>
    <n v="2003"/>
    <n v="11"/>
    <n v="10"/>
    <n v="843"/>
    <x v="1"/>
    <n v="0"/>
    <n v="1"/>
    <n v="0"/>
    <n v="0"/>
    <n v="0"/>
    <n v="0"/>
    <m/>
    <s v="2021-2022"/>
    <n v="13"/>
  </r>
  <r>
    <x v="90"/>
    <s v="eng"/>
    <s v="ENG"/>
    <s v="FW"/>
    <x v="6"/>
    <n v="18"/>
    <n v="2003"/>
    <n v="3"/>
    <n v="1"/>
    <n v="108"/>
    <x v="0"/>
    <n v="1"/>
    <n v="0"/>
    <n v="0"/>
    <n v="0"/>
    <n v="0"/>
    <n v="0"/>
    <m/>
    <s v="2021-2022"/>
    <n v="21"/>
  </r>
  <r>
    <x v="91"/>
    <s v="no"/>
    <s v="NOR"/>
    <s v="MF,DF"/>
    <x v="9"/>
    <n v="22"/>
    <n v="1999"/>
    <n v="21"/>
    <n v="10"/>
    <n v="985"/>
    <x v="5"/>
    <n v="0"/>
    <n v="3"/>
    <n v="0"/>
    <n v="0"/>
    <n v="0"/>
    <n v="0"/>
    <m/>
    <s v="2021-2022"/>
    <n v="55"/>
  </r>
  <r>
    <x v="93"/>
    <s v="eng"/>
    <s v="ENG"/>
    <s v="DF"/>
    <x v="2"/>
    <n v="24"/>
    <n v="1997"/>
    <n v="21"/>
    <n v="21"/>
    <n v="1890"/>
    <x v="0"/>
    <n v="0"/>
    <n v="0"/>
    <n v="0"/>
    <n v="0"/>
    <n v="5"/>
    <n v="0"/>
    <m/>
    <s v="2021-2022"/>
    <n v="20"/>
  </r>
  <r>
    <x v="326"/>
    <s v="eng"/>
    <s v="ENG"/>
    <s v="FW,MF"/>
    <x v="6"/>
    <n v="34"/>
    <n v="1987"/>
    <n v="3"/>
    <n v="0"/>
    <n v="66"/>
    <x v="0"/>
    <n v="0"/>
    <n v="0"/>
    <n v="0"/>
    <n v="0"/>
    <n v="0"/>
    <n v="0"/>
    <m/>
    <s v="2021-2022"/>
    <n v="21"/>
  </r>
  <r>
    <x v="95"/>
    <s v="wls"/>
    <s v="WAL"/>
    <s v="DF"/>
    <x v="7"/>
    <n v="24"/>
    <n v="1996"/>
    <n v="22"/>
    <n v="22"/>
    <n v="1980"/>
    <x v="0"/>
    <n v="1"/>
    <n v="0"/>
    <n v="0"/>
    <n v="0"/>
    <n v="0"/>
    <n v="0"/>
    <m/>
    <s v="2021-2022"/>
    <n v="25"/>
  </r>
  <r>
    <x v="327"/>
    <s v="eng"/>
    <s v="ENG"/>
    <s v="DF"/>
    <x v="12"/>
    <n v="20"/>
    <n v="2001"/>
    <n v="19"/>
    <n v="18"/>
    <n v="1618"/>
    <x v="1"/>
    <n v="0"/>
    <n v="1"/>
    <n v="0"/>
    <n v="0"/>
    <n v="2"/>
    <n v="0"/>
    <m/>
    <s v="2021-2022"/>
    <n v="11"/>
  </r>
  <r>
    <x v="96"/>
    <s v="eng"/>
    <s v="ENG"/>
    <s v="DF"/>
    <x v="1"/>
    <n v="25"/>
    <n v="1996"/>
    <n v="11"/>
    <n v="8"/>
    <n v="725"/>
    <x v="0"/>
    <n v="0"/>
    <n v="0"/>
    <n v="0"/>
    <n v="0"/>
    <n v="1"/>
    <n v="0"/>
    <m/>
    <s v="2021-2022"/>
    <n v="13"/>
  </r>
  <r>
    <x v="328"/>
    <s v="eng"/>
    <s v="ENG"/>
    <s v="MF,DF"/>
    <x v="5"/>
    <n v="22"/>
    <n v="1999"/>
    <n v="22"/>
    <n v="19"/>
    <n v="1667"/>
    <x v="12"/>
    <n v="1"/>
    <n v="8"/>
    <n v="0"/>
    <n v="0"/>
    <n v="2"/>
    <n v="1"/>
    <m/>
    <s v="2021-2022"/>
    <n v="47"/>
  </r>
  <r>
    <x v="99"/>
    <s v="eng"/>
    <s v="ENG"/>
    <s v="DF"/>
    <x v="0"/>
    <n v="29"/>
    <n v="1991"/>
    <n v="19"/>
    <n v="19"/>
    <n v="1710"/>
    <x v="0"/>
    <n v="2"/>
    <n v="0"/>
    <n v="0"/>
    <n v="0"/>
    <n v="1"/>
    <n v="0"/>
    <m/>
    <s v="2021-2022"/>
    <n v="27"/>
  </r>
  <r>
    <x v="329"/>
    <s v="eng"/>
    <s v="ENG"/>
    <s v="MF,FW"/>
    <x v="2"/>
    <n v="18"/>
    <n v="2003"/>
    <n v="8"/>
    <n v="2"/>
    <n v="217"/>
    <x v="0"/>
    <n v="0"/>
    <n v="0"/>
    <n v="0"/>
    <n v="0"/>
    <n v="0"/>
    <n v="0"/>
    <m/>
    <s v="2021-2022"/>
    <n v="20"/>
  </r>
  <r>
    <x v="101"/>
    <s v="eng"/>
    <s v="ENG"/>
    <s v="DF"/>
    <x v="0"/>
    <n v="23"/>
    <n v="1998"/>
    <n v="16"/>
    <n v="15"/>
    <n v="1350"/>
    <x v="2"/>
    <n v="0"/>
    <n v="2"/>
    <n v="0"/>
    <n v="0"/>
    <n v="0"/>
    <n v="0"/>
    <m/>
    <s v="2021-2022"/>
    <n v="27"/>
  </r>
  <r>
    <x v="330"/>
    <s v="eng"/>
    <s v="ENG"/>
    <s v="DF,FW"/>
    <x v="0"/>
    <n v="18"/>
    <n v="2003"/>
    <n v="2"/>
    <n v="0"/>
    <n v="7"/>
    <x v="0"/>
    <n v="0"/>
    <n v="0"/>
    <n v="0"/>
    <n v="0"/>
    <n v="0"/>
    <n v="0"/>
    <m/>
    <s v="2021-2022"/>
    <n v="27"/>
  </r>
  <r>
    <x v="102"/>
    <s v="ie"/>
    <s v="IRL"/>
    <s v="GK"/>
    <x v="7"/>
    <n v="28"/>
    <n v="1993"/>
    <n v="20"/>
    <n v="20"/>
    <n v="1754"/>
    <x v="0"/>
    <n v="0"/>
    <n v="0"/>
    <n v="0"/>
    <n v="0"/>
    <n v="1"/>
    <n v="0"/>
    <m/>
    <s v="2021-2022"/>
    <n v="25"/>
  </r>
  <r>
    <x v="105"/>
    <s v="no"/>
    <s v="NOR"/>
    <s v="MF,DF"/>
    <x v="4"/>
    <n v="27"/>
    <n v="1994"/>
    <n v="21"/>
    <n v="18"/>
    <n v="1495"/>
    <x v="9"/>
    <n v="5"/>
    <n v="7"/>
    <n v="0"/>
    <n v="0"/>
    <n v="2"/>
    <n v="0"/>
    <m/>
    <s v="2021-2022"/>
    <n v="56"/>
  </r>
  <r>
    <x v="106"/>
    <s v="eng"/>
    <s v="ENG"/>
    <s v="DF"/>
    <x v="9"/>
    <n v="16"/>
    <n v="2004"/>
    <n v="1"/>
    <n v="0"/>
    <n v="5"/>
    <x v="0"/>
    <n v="0"/>
    <n v="0"/>
    <n v="0"/>
    <n v="0"/>
    <n v="0"/>
    <n v="0"/>
    <m/>
    <s v="2021-2022"/>
    <n v="55"/>
  </r>
  <r>
    <x v="106"/>
    <s v="eng"/>
    <s v="ENG"/>
    <s v="MF,FW"/>
    <x v="0"/>
    <n v="16"/>
    <n v="2004"/>
    <n v="5"/>
    <n v="0"/>
    <n v="26"/>
    <x v="0"/>
    <n v="0"/>
    <n v="0"/>
    <n v="0"/>
    <n v="0"/>
    <n v="0"/>
    <n v="0"/>
    <m/>
    <s v="2021-2022"/>
    <n v="27"/>
  </r>
  <r>
    <x v="107"/>
    <s v="se"/>
    <s v="SWE"/>
    <s v="MF,FW"/>
    <x v="2"/>
    <n v="18"/>
    <n v="2002"/>
    <n v="22"/>
    <n v="10"/>
    <n v="1223"/>
    <x v="1"/>
    <n v="2"/>
    <n v="1"/>
    <n v="0"/>
    <n v="0"/>
    <n v="0"/>
    <n v="0"/>
    <m/>
    <s v="2021-2022"/>
    <n v="20"/>
  </r>
  <r>
    <x v="108"/>
    <s v="eng"/>
    <s v="ENG"/>
    <s v="DF"/>
    <x v="3"/>
    <n v="27"/>
    <n v="1994"/>
    <n v="21"/>
    <n v="19"/>
    <n v="1768"/>
    <x v="0"/>
    <n v="5"/>
    <n v="0"/>
    <n v="0"/>
    <n v="0"/>
    <n v="2"/>
    <n v="0"/>
    <m/>
    <s v="2021-2022"/>
    <n v="42"/>
  </r>
  <r>
    <x v="109"/>
    <s v="wls"/>
    <s v="WAL"/>
    <s v="MF,DF"/>
    <x v="1"/>
    <n v="22"/>
    <n v="1999"/>
    <n v="4"/>
    <n v="4"/>
    <n v="275"/>
    <x v="0"/>
    <n v="0"/>
    <n v="0"/>
    <n v="0"/>
    <n v="0"/>
    <n v="0"/>
    <n v="0"/>
    <m/>
    <s v="2021-2022"/>
    <n v="13"/>
  </r>
  <r>
    <x v="110"/>
    <s v="eng"/>
    <s v="ENG"/>
    <s v="GK"/>
    <x v="6"/>
    <n v="20"/>
    <n v="2000"/>
    <n v="20"/>
    <n v="20"/>
    <n v="1773"/>
    <x v="0"/>
    <n v="0"/>
    <n v="0"/>
    <n v="0"/>
    <n v="0"/>
    <n v="1"/>
    <n v="0"/>
    <m/>
    <s v="2021-2022"/>
    <n v="21"/>
  </r>
  <r>
    <x v="331"/>
    <s v="ie"/>
    <s v="IRL"/>
    <s v="DF"/>
    <x v="12"/>
    <n v="28"/>
    <n v="1993"/>
    <n v="20"/>
    <n v="20"/>
    <n v="1722"/>
    <x v="0"/>
    <n v="0"/>
    <n v="0"/>
    <n v="0"/>
    <n v="0"/>
    <n v="2"/>
    <n v="0"/>
    <m/>
    <s v="2021-2022"/>
    <n v="11"/>
  </r>
  <r>
    <x v="112"/>
    <s v="fr"/>
    <s v="FRA"/>
    <s v="DF"/>
    <x v="0"/>
    <n v="24"/>
    <n v="1997"/>
    <n v="19"/>
    <n v="19"/>
    <n v="1534"/>
    <x v="0"/>
    <n v="1"/>
    <n v="0"/>
    <n v="0"/>
    <n v="0"/>
    <n v="5"/>
    <n v="2"/>
    <m/>
    <s v="2021-2022"/>
    <n v="27"/>
  </r>
  <r>
    <x v="113"/>
    <s v="wls"/>
    <s v="WAL"/>
    <s v="MF,DF"/>
    <x v="3"/>
    <n v="27"/>
    <n v="1993"/>
    <n v="14"/>
    <n v="12"/>
    <n v="1083"/>
    <x v="2"/>
    <n v="0"/>
    <n v="2"/>
    <n v="0"/>
    <n v="0"/>
    <n v="4"/>
    <n v="0"/>
    <m/>
    <s v="2021-2022"/>
    <n v="42"/>
  </r>
  <r>
    <x v="114"/>
    <s v="au"/>
    <s v="AUS"/>
    <s v="FW"/>
    <x v="5"/>
    <n v="26"/>
    <n v="1994"/>
    <n v="13"/>
    <n v="8"/>
    <n v="643"/>
    <x v="5"/>
    <n v="3"/>
    <n v="3"/>
    <n v="0"/>
    <n v="0"/>
    <n v="0"/>
    <n v="0"/>
    <m/>
    <s v="2021-2022"/>
    <n v="47"/>
  </r>
  <r>
    <x v="332"/>
    <s v="nl"/>
    <s v="NED"/>
    <s v="MF,FW"/>
    <x v="10"/>
    <n v="25"/>
    <n v="1996"/>
    <n v="20"/>
    <n v="17"/>
    <n v="1484"/>
    <x v="8"/>
    <n v="3"/>
    <n v="1"/>
    <n v="3"/>
    <n v="3"/>
    <n v="2"/>
    <n v="0"/>
    <m/>
    <s v="2021-2022"/>
    <n v="26"/>
  </r>
  <r>
    <x v="333"/>
    <s v="eng"/>
    <s v="ENG"/>
    <s v="DF,MF"/>
    <x v="8"/>
    <n v="17"/>
    <n v="2003"/>
    <n v="2"/>
    <n v="0"/>
    <n v="23"/>
    <x v="0"/>
    <n v="0"/>
    <n v="0"/>
    <n v="0"/>
    <n v="0"/>
    <n v="0"/>
    <n v="0"/>
    <m/>
    <s v="2021-2022"/>
    <n v="32"/>
  </r>
  <r>
    <x v="334"/>
    <s v="br"/>
    <s v="BRA"/>
    <s v="FW,MF"/>
    <x v="3"/>
    <n v="20"/>
    <n v="2001"/>
    <n v="7"/>
    <n v="0"/>
    <n v="81"/>
    <x v="0"/>
    <n v="0"/>
    <n v="0"/>
    <n v="0"/>
    <n v="0"/>
    <n v="0"/>
    <n v="0"/>
    <m/>
    <s v="2021-2022"/>
    <n v="42"/>
  </r>
  <r>
    <x v="118"/>
    <s v="eng"/>
    <s v="ENG"/>
    <s v="MF"/>
    <x v="2"/>
    <n v="29"/>
    <n v="1991"/>
    <n v="20"/>
    <n v="19"/>
    <n v="1699"/>
    <x v="0"/>
    <n v="2"/>
    <n v="0"/>
    <n v="0"/>
    <n v="2"/>
    <n v="1"/>
    <n v="0"/>
    <m/>
    <s v="2021-2022"/>
    <n v="20"/>
  </r>
  <r>
    <x v="335"/>
    <s v="nl"/>
    <s v="NED"/>
    <s v="MF"/>
    <x v="3"/>
    <n v="26"/>
    <n v="1994"/>
    <n v="16"/>
    <n v="12"/>
    <n v="1063"/>
    <x v="0"/>
    <n v="0"/>
    <n v="0"/>
    <n v="0"/>
    <n v="0"/>
    <n v="1"/>
    <n v="0"/>
    <m/>
    <s v="2021-2022"/>
    <n v="42"/>
  </r>
  <r>
    <x v="120"/>
    <s v="eng"/>
    <s v="ENG"/>
    <s v="MF"/>
    <x v="3"/>
    <n v="30"/>
    <n v="1990"/>
    <n v="3"/>
    <n v="0"/>
    <n v="41"/>
    <x v="0"/>
    <n v="0"/>
    <n v="0"/>
    <n v="0"/>
    <n v="0"/>
    <n v="0"/>
    <n v="0"/>
    <m/>
    <s v="2021-2022"/>
    <n v="42"/>
  </r>
  <r>
    <x v="336"/>
    <s v="eng"/>
    <s v="ENG"/>
    <s v="FW,MF"/>
    <x v="12"/>
    <n v="28"/>
    <n v="1993"/>
    <n v="19"/>
    <n v="17"/>
    <n v="1417"/>
    <x v="2"/>
    <n v="1"/>
    <n v="2"/>
    <n v="0"/>
    <n v="0"/>
    <n v="0"/>
    <n v="0"/>
    <m/>
    <s v="2021-2022"/>
    <n v="11"/>
  </r>
  <r>
    <x v="337"/>
    <s v="ie"/>
    <s v="IRL"/>
    <s v="DF,MF"/>
    <x v="12"/>
    <n v="23"/>
    <n v="1998"/>
    <n v="20"/>
    <n v="18"/>
    <n v="1650"/>
    <x v="0"/>
    <n v="1"/>
    <n v="0"/>
    <n v="0"/>
    <n v="0"/>
    <n v="1"/>
    <n v="0"/>
    <m/>
    <s v="2021-2022"/>
    <n v="11"/>
  </r>
  <r>
    <x v="338"/>
    <s v="ca"/>
    <s v="CAN"/>
    <s v="FW,DF"/>
    <x v="5"/>
    <n v="26"/>
    <n v="1994"/>
    <n v="11"/>
    <n v="5"/>
    <n v="503"/>
    <x v="1"/>
    <n v="0"/>
    <n v="1"/>
    <n v="0"/>
    <n v="0"/>
    <n v="1"/>
    <n v="0"/>
    <m/>
    <s v="2021-2022"/>
    <n v="47"/>
  </r>
  <r>
    <x v="126"/>
    <s v="eng"/>
    <s v="ENG"/>
    <s v="DF,MF"/>
    <x v="1"/>
    <n v="24"/>
    <n v="1997"/>
    <n v="20"/>
    <n v="19"/>
    <n v="1644"/>
    <x v="2"/>
    <n v="1"/>
    <n v="2"/>
    <n v="0"/>
    <n v="0"/>
    <n v="2"/>
    <n v="1"/>
    <m/>
    <s v="2021-2022"/>
    <n v="13"/>
  </r>
  <r>
    <x v="127"/>
    <s v="sct"/>
    <s v="SCO"/>
    <s v="DF,MF"/>
    <x v="9"/>
    <n v="30"/>
    <n v="1991"/>
    <n v="9"/>
    <n v="7"/>
    <n v="586"/>
    <x v="1"/>
    <n v="0"/>
    <n v="1"/>
    <n v="0"/>
    <n v="0"/>
    <n v="0"/>
    <n v="0"/>
    <m/>
    <s v="2021-2022"/>
    <n v="55"/>
  </r>
  <r>
    <x v="339"/>
    <s v="kr"/>
    <s v="KOR"/>
    <s v="FW,DF"/>
    <x v="7"/>
    <n v="32"/>
    <n v="1988"/>
    <n v="2"/>
    <n v="0"/>
    <n v="21"/>
    <x v="0"/>
    <n v="0"/>
    <n v="0"/>
    <n v="0"/>
    <n v="0"/>
    <n v="0"/>
    <n v="0"/>
    <m/>
    <s v="2021-2022"/>
    <n v="25"/>
  </r>
  <r>
    <x v="128"/>
    <s v="eng"/>
    <s v="ENG"/>
    <s v="DF"/>
    <x v="4"/>
    <n v="23"/>
    <n v="1997"/>
    <n v="21"/>
    <n v="19"/>
    <n v="1685"/>
    <x v="0"/>
    <n v="1"/>
    <n v="0"/>
    <n v="0"/>
    <n v="0"/>
    <n v="1"/>
    <n v="0"/>
    <m/>
    <s v="2021-2022"/>
    <n v="56"/>
  </r>
  <r>
    <x v="130"/>
    <s v="eng"/>
    <s v="ENG"/>
    <s v="FW,MF"/>
    <x v="8"/>
    <n v="20"/>
    <n v="2000"/>
    <n v="16"/>
    <n v="14"/>
    <n v="1180"/>
    <x v="2"/>
    <n v="3"/>
    <n v="2"/>
    <n v="0"/>
    <n v="0"/>
    <n v="1"/>
    <n v="0"/>
    <m/>
    <s v="2021-2022"/>
    <n v="32"/>
  </r>
  <r>
    <x v="131"/>
    <s v="eng"/>
    <s v="ENG"/>
    <s v="FW"/>
    <x v="5"/>
    <n v="19"/>
    <n v="2001"/>
    <n v="13"/>
    <n v="8"/>
    <n v="706"/>
    <x v="0"/>
    <n v="0"/>
    <n v="0"/>
    <n v="0"/>
    <n v="0"/>
    <n v="0"/>
    <n v="0"/>
    <m/>
    <s v="2021-2022"/>
    <n v="47"/>
  </r>
  <r>
    <x v="132"/>
    <s v="eng"/>
    <s v="ENG"/>
    <s v="FW"/>
    <x v="1"/>
    <n v="26"/>
    <n v="1994"/>
    <n v="13"/>
    <n v="13"/>
    <n v="1123"/>
    <x v="2"/>
    <n v="1"/>
    <n v="1"/>
    <n v="1"/>
    <n v="1"/>
    <n v="4"/>
    <n v="0"/>
    <m/>
    <s v="2021-2022"/>
    <n v="13"/>
  </r>
  <r>
    <x v="134"/>
    <s v="ca"/>
    <s v="CAN"/>
    <s v="FW,MF"/>
    <x v="4"/>
    <n v="23"/>
    <n v="1998"/>
    <n v="21"/>
    <n v="11"/>
    <n v="1059"/>
    <x v="7"/>
    <n v="4"/>
    <n v="6"/>
    <n v="0"/>
    <n v="0"/>
    <n v="1"/>
    <n v="0"/>
    <m/>
    <s v="2021-2022"/>
    <n v="56"/>
  </r>
  <r>
    <x v="340"/>
    <s v="kr"/>
    <s v="KOR"/>
    <s v="MF"/>
    <x v="4"/>
    <n v="30"/>
    <n v="1991"/>
    <n v="12"/>
    <n v="8"/>
    <n v="649"/>
    <x v="0"/>
    <n v="5"/>
    <n v="0"/>
    <n v="0"/>
    <n v="0"/>
    <n v="0"/>
    <n v="0"/>
    <m/>
    <s v="2021-2022"/>
    <n v="56"/>
  </r>
  <r>
    <x v="341"/>
    <s v="eng"/>
    <s v="ENG"/>
    <s v="MF"/>
    <x v="6"/>
    <n v="34"/>
    <n v="1987"/>
    <n v="7"/>
    <n v="6"/>
    <n v="515"/>
    <x v="0"/>
    <n v="1"/>
    <n v="0"/>
    <n v="0"/>
    <n v="0"/>
    <n v="0"/>
    <n v="0"/>
    <m/>
    <s v="2021-2022"/>
    <n v="21"/>
  </r>
  <r>
    <x v="341"/>
    <s v="eng"/>
    <s v="ENG"/>
    <s v="DF"/>
    <x v="5"/>
    <n v="34"/>
    <n v="1987"/>
    <n v="8"/>
    <n v="5"/>
    <n v="492"/>
    <x v="0"/>
    <n v="0"/>
    <n v="0"/>
    <n v="0"/>
    <n v="0"/>
    <n v="0"/>
    <n v="0"/>
    <m/>
    <s v="2021-2022"/>
    <n v="47"/>
  </r>
  <r>
    <x v="342"/>
    <s v="eng"/>
    <s v="ENG"/>
    <s v="FW,MF"/>
    <x v="6"/>
    <n v="20"/>
    <n v="2001"/>
    <n v="4"/>
    <n v="1"/>
    <n v="101"/>
    <x v="0"/>
    <n v="0"/>
    <n v="0"/>
    <n v="0"/>
    <n v="0"/>
    <n v="1"/>
    <n v="0"/>
    <m/>
    <s v="2021-2022"/>
    <n v="21"/>
  </r>
  <r>
    <x v="343"/>
    <s v="se"/>
    <s v="SWE"/>
    <s v="MF,DF"/>
    <x v="4"/>
    <n v="28"/>
    <n v="1993"/>
    <n v="20"/>
    <n v="11"/>
    <n v="1006"/>
    <x v="0"/>
    <n v="3"/>
    <n v="0"/>
    <n v="0"/>
    <n v="0"/>
    <n v="1"/>
    <n v="0"/>
    <m/>
    <s v="2021-2022"/>
    <n v="56"/>
  </r>
  <r>
    <x v="137"/>
    <s v="eng"/>
    <s v="ENG"/>
    <s v="MF,FW"/>
    <x v="9"/>
    <n v="28"/>
    <n v="1992"/>
    <n v="16"/>
    <n v="5"/>
    <n v="593"/>
    <x v="2"/>
    <n v="1"/>
    <n v="2"/>
    <n v="0"/>
    <n v="0"/>
    <n v="1"/>
    <n v="0"/>
    <m/>
    <s v="2021-2022"/>
    <n v="55"/>
  </r>
  <r>
    <x v="138"/>
    <s v="eng"/>
    <s v="ENG"/>
    <s v="DF"/>
    <x v="4"/>
    <n v="17"/>
    <n v="2003"/>
    <n v="1"/>
    <n v="0"/>
    <n v="12"/>
    <x v="0"/>
    <n v="0"/>
    <n v="0"/>
    <n v="0"/>
    <n v="0"/>
    <n v="0"/>
    <n v="0"/>
    <m/>
    <s v="2021-2022"/>
    <n v="56"/>
  </r>
  <r>
    <x v="139"/>
    <s v="wls"/>
    <s v="WAL"/>
    <s v="MF"/>
    <x v="8"/>
    <n v="28"/>
    <n v="1993"/>
    <n v="11"/>
    <n v="6"/>
    <n v="544"/>
    <x v="1"/>
    <n v="0"/>
    <n v="1"/>
    <n v="0"/>
    <n v="0"/>
    <n v="1"/>
    <n v="0"/>
    <m/>
    <s v="2021-2022"/>
    <n v="32"/>
  </r>
  <r>
    <x v="140"/>
    <s v="se"/>
    <s v="SWE"/>
    <s v="MF,FW"/>
    <x v="10"/>
    <n v="23"/>
    <n v="1997"/>
    <n v="11"/>
    <n v="6"/>
    <n v="565"/>
    <x v="2"/>
    <n v="0"/>
    <n v="2"/>
    <n v="0"/>
    <n v="0"/>
    <n v="0"/>
    <n v="0"/>
    <m/>
    <s v="2021-2022"/>
    <n v="26"/>
  </r>
  <r>
    <x v="141"/>
    <s v="no"/>
    <s v="NOR"/>
    <s v="DF,FW"/>
    <x v="5"/>
    <n v="19"/>
    <n v="2001"/>
    <n v="8"/>
    <n v="3"/>
    <n v="343"/>
    <x v="1"/>
    <n v="1"/>
    <n v="1"/>
    <n v="0"/>
    <n v="0"/>
    <n v="0"/>
    <n v="0"/>
    <m/>
    <s v="2021-2022"/>
    <n v="47"/>
  </r>
  <r>
    <x v="142"/>
    <s v="be"/>
    <s v="BEL"/>
    <s v="MF,DF"/>
    <x v="7"/>
    <n v="29"/>
    <n v="1992"/>
    <n v="19"/>
    <n v="17"/>
    <n v="1587"/>
    <x v="2"/>
    <n v="2"/>
    <n v="1"/>
    <n v="1"/>
    <n v="1"/>
    <n v="2"/>
    <n v="0"/>
    <m/>
    <s v="2021-2022"/>
    <n v="25"/>
  </r>
  <r>
    <x v="344"/>
    <s v="fr"/>
    <s v="FRA"/>
    <s v="GK"/>
    <x v="5"/>
    <n v="32"/>
    <n v="1989"/>
    <n v="10"/>
    <n v="10"/>
    <n v="900"/>
    <x v="0"/>
    <n v="0"/>
    <n v="0"/>
    <n v="0"/>
    <n v="0"/>
    <n v="0"/>
    <n v="0"/>
    <m/>
    <s v="2021-2022"/>
    <n v="47"/>
  </r>
  <r>
    <x v="145"/>
    <s v="eng"/>
    <s v="ENG"/>
    <s v="DF"/>
    <x v="0"/>
    <n v="32"/>
    <n v="1989"/>
    <n v="22"/>
    <n v="20"/>
    <n v="1759"/>
    <x v="1"/>
    <n v="2"/>
    <n v="1"/>
    <n v="0"/>
    <n v="0"/>
    <n v="4"/>
    <n v="0"/>
    <m/>
    <s v="2021-2022"/>
    <n v="27"/>
  </r>
  <r>
    <x v="146"/>
    <s v="cz"/>
    <s v="CZE"/>
    <s v="DF,MF"/>
    <x v="0"/>
    <n v="25"/>
    <n v="1996"/>
    <n v="19"/>
    <n v="17"/>
    <n v="1545"/>
    <x v="2"/>
    <n v="4"/>
    <n v="2"/>
    <n v="0"/>
    <n v="0"/>
    <n v="2"/>
    <n v="0"/>
    <m/>
    <s v="2021-2022"/>
    <n v="27"/>
  </r>
  <r>
    <x v="148"/>
    <s v="ie"/>
    <s v="IRL"/>
    <s v="DF,FW"/>
    <x v="9"/>
    <n v="25"/>
    <n v="1995"/>
    <n v="20"/>
    <n v="16"/>
    <n v="1330"/>
    <x v="4"/>
    <n v="6"/>
    <n v="4"/>
    <n v="1"/>
    <n v="1"/>
    <n v="9"/>
    <n v="1"/>
    <m/>
    <s v="2021-2022"/>
    <n v="55"/>
  </r>
  <r>
    <x v="149"/>
    <s v="eng"/>
    <s v="ENG"/>
    <s v="FW,MF"/>
    <x v="10"/>
    <n v="18"/>
    <n v="2002"/>
    <n v="6"/>
    <n v="1"/>
    <n v="122"/>
    <x v="0"/>
    <n v="0"/>
    <n v="0"/>
    <n v="0"/>
    <n v="0"/>
    <n v="0"/>
    <n v="0"/>
    <m/>
    <s v="2021-2022"/>
    <n v="26"/>
  </r>
  <r>
    <x v="345"/>
    <s v="eng"/>
    <s v="ENG"/>
    <s v="GK"/>
    <x v="10"/>
    <n v="22"/>
    <n v="1999"/>
    <n v="2"/>
    <n v="2"/>
    <n v="180"/>
    <x v="0"/>
    <n v="0"/>
    <n v="0"/>
    <n v="0"/>
    <n v="0"/>
    <n v="0"/>
    <n v="0"/>
    <m/>
    <s v="2021-2022"/>
    <n v="26"/>
  </r>
  <r>
    <x v="151"/>
    <s v="eng"/>
    <s v="ENG"/>
    <s v="MF"/>
    <x v="3"/>
    <n v="25"/>
    <n v="1996"/>
    <n v="22"/>
    <n v="22"/>
    <n v="1976"/>
    <x v="4"/>
    <n v="5"/>
    <n v="3"/>
    <n v="2"/>
    <n v="2"/>
    <n v="1"/>
    <n v="0"/>
    <m/>
    <s v="2021-2022"/>
    <n v="42"/>
  </r>
  <r>
    <x v="154"/>
    <s v="wls"/>
    <s v="WAL"/>
    <s v="MF,FW"/>
    <x v="10"/>
    <n v="33"/>
    <n v="1988"/>
    <n v="18"/>
    <n v="9"/>
    <n v="914"/>
    <x v="5"/>
    <n v="1"/>
    <n v="3"/>
    <n v="0"/>
    <n v="0"/>
    <n v="2"/>
    <n v="0"/>
    <m/>
    <s v="2021-2022"/>
    <n v="26"/>
  </r>
  <r>
    <x v="346"/>
    <s v="eng"/>
    <s v="ENG"/>
    <s v="MF"/>
    <x v="5"/>
    <n v="24"/>
    <n v="1997"/>
    <n v="18"/>
    <n v="18"/>
    <n v="1507"/>
    <x v="1"/>
    <n v="3"/>
    <n v="1"/>
    <n v="0"/>
    <n v="0"/>
    <n v="1"/>
    <n v="0"/>
    <m/>
    <s v="2021-2022"/>
    <n v="47"/>
  </r>
  <r>
    <x v="156"/>
    <s v="fr"/>
    <s v="FRA"/>
    <s v="MF,FW"/>
    <x v="2"/>
    <n v="30"/>
    <n v="1991"/>
    <n v="20"/>
    <n v="15"/>
    <n v="1269"/>
    <x v="0"/>
    <n v="2"/>
    <n v="0"/>
    <n v="0"/>
    <n v="0"/>
    <n v="1"/>
    <n v="0"/>
    <m/>
    <s v="2021-2022"/>
    <n v="20"/>
  </r>
  <r>
    <x v="159"/>
    <s v="eng"/>
    <s v="ENG"/>
    <s v="DF,MF"/>
    <x v="8"/>
    <n v="30"/>
    <n v="1990"/>
    <n v="19"/>
    <n v="17"/>
    <n v="1514"/>
    <x v="1"/>
    <n v="0"/>
    <n v="1"/>
    <n v="0"/>
    <n v="0"/>
    <n v="1"/>
    <n v="0"/>
    <m/>
    <s v="2021-2022"/>
    <n v="32"/>
  </r>
  <r>
    <x v="160"/>
    <s v="jm"/>
    <s v="JAM"/>
    <s v="FW"/>
    <x v="5"/>
    <n v="24"/>
    <n v="1997"/>
    <n v="17"/>
    <n v="9"/>
    <n v="794"/>
    <x v="10"/>
    <n v="3"/>
    <n v="9"/>
    <n v="0"/>
    <n v="0"/>
    <n v="0"/>
    <n v="0"/>
    <m/>
    <s v="2021-2022"/>
    <n v="47"/>
  </r>
  <r>
    <x v="161"/>
    <s v="eng"/>
    <s v="ENG"/>
    <s v="GK"/>
    <x v="5"/>
    <n v="17"/>
    <n v="2004"/>
    <n v="3"/>
    <n v="2"/>
    <n v="184"/>
    <x v="0"/>
    <n v="0"/>
    <n v="0"/>
    <n v="0"/>
    <n v="0"/>
    <n v="0"/>
    <n v="0"/>
    <m/>
    <s v="2021-2022"/>
    <n v="47"/>
  </r>
  <r>
    <x v="162"/>
    <s v="sct"/>
    <s v="SCO"/>
    <s v="MF"/>
    <x v="9"/>
    <n v="31"/>
    <n v="1990"/>
    <n v="22"/>
    <n v="21"/>
    <n v="1786"/>
    <x v="7"/>
    <n v="0"/>
    <n v="5"/>
    <n v="1"/>
    <n v="1"/>
    <n v="0"/>
    <n v="0"/>
    <m/>
    <s v="2021-2022"/>
    <n v="55"/>
  </r>
  <r>
    <x v="163"/>
    <s v="eng"/>
    <s v="ENG"/>
    <s v="GK"/>
    <x v="1"/>
    <n v="24"/>
    <n v="1997"/>
    <n v="7"/>
    <n v="7"/>
    <n v="630"/>
    <x v="0"/>
    <n v="0"/>
    <n v="0"/>
    <n v="0"/>
    <n v="0"/>
    <n v="0"/>
    <n v="0"/>
    <m/>
    <s v="2021-2022"/>
    <n v="13"/>
  </r>
  <r>
    <x v="164"/>
    <s v="sct"/>
    <s v="SCO"/>
    <s v="FW"/>
    <x v="3"/>
    <n v="23"/>
    <n v="1998"/>
    <n v="17"/>
    <n v="6"/>
    <n v="731"/>
    <x v="1"/>
    <n v="1"/>
    <n v="1"/>
    <n v="0"/>
    <n v="0"/>
    <n v="1"/>
    <n v="0"/>
    <m/>
    <s v="2021-2022"/>
    <n v="42"/>
  </r>
  <r>
    <x v="165"/>
    <s v="sct"/>
    <s v="SCO"/>
    <s v="DF"/>
    <x v="3"/>
    <n v="27"/>
    <n v="1994"/>
    <n v="3"/>
    <n v="3"/>
    <n v="186"/>
    <x v="0"/>
    <n v="0"/>
    <n v="0"/>
    <n v="0"/>
    <n v="0"/>
    <n v="0"/>
    <n v="0"/>
    <m/>
    <s v="2021-2022"/>
    <n v="42"/>
  </r>
  <r>
    <x v="166"/>
    <s v="eng"/>
    <s v="ENG"/>
    <s v="FW,MF"/>
    <x v="8"/>
    <n v="25"/>
    <n v="1995"/>
    <n v="8"/>
    <n v="7"/>
    <n v="534"/>
    <x v="2"/>
    <n v="0"/>
    <n v="2"/>
    <n v="0"/>
    <n v="0"/>
    <n v="1"/>
    <n v="0"/>
    <m/>
    <s v="2021-2022"/>
    <n v="32"/>
  </r>
  <r>
    <x v="167"/>
    <s v="au"/>
    <s v="AUS"/>
    <s v="FW,MF"/>
    <x v="8"/>
    <n v="30"/>
    <n v="1991"/>
    <n v="14"/>
    <n v="13"/>
    <n v="916"/>
    <x v="5"/>
    <n v="1"/>
    <n v="2"/>
    <n v="1"/>
    <n v="1"/>
    <n v="3"/>
    <n v="0"/>
    <m/>
    <s v="2021-2022"/>
    <n v="32"/>
  </r>
  <r>
    <x v="347"/>
    <s v="eng"/>
    <s v="ENG"/>
    <s v="FW,DF"/>
    <x v="1"/>
    <n v="18"/>
    <n v="2002"/>
    <n v="2"/>
    <n v="1"/>
    <n v="67"/>
    <x v="0"/>
    <n v="0"/>
    <n v="0"/>
    <n v="0"/>
    <n v="0"/>
    <n v="0"/>
    <n v="0"/>
    <m/>
    <s v="2021-2022"/>
    <n v="13"/>
  </r>
  <r>
    <x v="169"/>
    <s v="eng"/>
    <s v="ENG"/>
    <s v="MF"/>
    <x v="6"/>
    <n v="17"/>
    <n v="2003"/>
    <n v="11"/>
    <n v="7"/>
    <n v="666"/>
    <x v="0"/>
    <n v="1"/>
    <n v="0"/>
    <n v="0"/>
    <n v="0"/>
    <n v="0"/>
    <n v="0"/>
    <m/>
    <s v="2021-2022"/>
    <n v="21"/>
  </r>
  <r>
    <x v="170"/>
    <s v="eng"/>
    <s v="ENG"/>
    <s v="MF,FW"/>
    <x v="5"/>
    <n v="30"/>
    <n v="1991"/>
    <n v="16"/>
    <n v="6"/>
    <n v="640"/>
    <x v="8"/>
    <n v="1"/>
    <n v="4"/>
    <n v="0"/>
    <n v="0"/>
    <n v="0"/>
    <n v="0"/>
    <m/>
    <s v="2021-2022"/>
    <n v="47"/>
  </r>
  <r>
    <x v="171"/>
    <s v="at"/>
    <s v="AUT"/>
    <s v="DF"/>
    <x v="9"/>
    <n v="22"/>
    <n v="1999"/>
    <n v="8"/>
    <n v="3"/>
    <n v="364"/>
    <x v="0"/>
    <n v="0"/>
    <n v="0"/>
    <n v="0"/>
    <n v="0"/>
    <n v="1"/>
    <n v="0"/>
    <m/>
    <s v="2021-2022"/>
    <n v="55"/>
  </r>
  <r>
    <x v="172"/>
    <s v="eng"/>
    <s v="ENG"/>
    <s v="FW"/>
    <x v="5"/>
    <n v="20"/>
    <n v="2000"/>
    <n v="22"/>
    <n v="20"/>
    <n v="1733"/>
    <x v="3"/>
    <n v="6"/>
    <n v="10"/>
    <n v="0"/>
    <n v="0"/>
    <n v="1"/>
    <n v="0"/>
    <m/>
    <s v="2021-2022"/>
    <n v="47"/>
  </r>
  <r>
    <x v="173"/>
    <s v="eng"/>
    <s v="ENG"/>
    <s v="FW,MF"/>
    <x v="4"/>
    <n v="19"/>
    <n v="2001"/>
    <n v="6"/>
    <n v="0"/>
    <n v="113"/>
    <x v="1"/>
    <n v="0"/>
    <n v="1"/>
    <n v="0"/>
    <n v="0"/>
    <n v="0"/>
    <n v="0"/>
    <m/>
    <s v="2021-2022"/>
    <n v="56"/>
  </r>
  <r>
    <x v="175"/>
    <s v="eng"/>
    <s v="ENG"/>
    <s v="FW"/>
    <x v="3"/>
    <n v="27"/>
    <n v="1994"/>
    <n v="21"/>
    <n v="20"/>
    <n v="1697"/>
    <x v="12"/>
    <n v="3"/>
    <n v="8"/>
    <n v="0"/>
    <n v="0"/>
    <n v="0"/>
    <n v="0"/>
    <m/>
    <s v="2021-2022"/>
    <n v="42"/>
  </r>
  <r>
    <x v="176"/>
    <s v="eng"/>
    <s v="ENG"/>
    <s v="DF"/>
    <x v="9"/>
    <n v="24"/>
    <n v="1997"/>
    <n v="18"/>
    <n v="17"/>
    <n v="1452"/>
    <x v="2"/>
    <n v="3"/>
    <n v="2"/>
    <n v="0"/>
    <n v="0"/>
    <n v="1"/>
    <n v="0"/>
    <m/>
    <s v="2021-2022"/>
    <n v="55"/>
  </r>
  <r>
    <x v="178"/>
    <s v="kr"/>
    <s v="KOR"/>
    <s v="FW,MF"/>
    <x v="10"/>
    <n v="27"/>
    <n v="1994"/>
    <n v="16"/>
    <n v="13"/>
    <n v="1128"/>
    <x v="2"/>
    <n v="1"/>
    <n v="2"/>
    <n v="0"/>
    <n v="0"/>
    <n v="0"/>
    <n v="0"/>
    <m/>
    <s v="2021-2022"/>
    <n v="26"/>
  </r>
  <r>
    <x v="182"/>
    <s v="de"/>
    <s v="GER"/>
    <s v="DF,MF"/>
    <x v="2"/>
    <n v="28"/>
    <n v="1992"/>
    <n v="15"/>
    <n v="13"/>
    <n v="1090"/>
    <x v="1"/>
    <n v="0"/>
    <n v="1"/>
    <n v="0"/>
    <n v="0"/>
    <n v="0"/>
    <n v="0"/>
    <m/>
    <s v="2021-2022"/>
    <n v="20"/>
  </r>
  <r>
    <x v="183"/>
    <s v="ch"/>
    <s v="SUI"/>
    <s v="MF"/>
    <x v="9"/>
    <n v="28"/>
    <n v="1993"/>
    <n v="20"/>
    <n v="18"/>
    <n v="1584"/>
    <x v="0"/>
    <n v="3"/>
    <n v="0"/>
    <n v="0"/>
    <n v="0"/>
    <n v="2"/>
    <n v="0"/>
    <m/>
    <s v="2021-2022"/>
    <n v="55"/>
  </r>
  <r>
    <x v="184"/>
    <s v="eng"/>
    <s v="ENG"/>
    <s v="MF"/>
    <x v="10"/>
    <n v="18"/>
    <n v="2003"/>
    <n v="3"/>
    <n v="1"/>
    <n v="111"/>
    <x v="0"/>
    <n v="0"/>
    <n v="0"/>
    <n v="0"/>
    <n v="0"/>
    <n v="0"/>
    <n v="0"/>
    <m/>
    <s v="2021-2022"/>
    <n v="26"/>
  </r>
  <r>
    <x v="348"/>
    <s v="eng"/>
    <s v="ENG"/>
    <s v="FW,DF"/>
    <x v="12"/>
    <n v="19"/>
    <n v="2001"/>
    <n v="20"/>
    <n v="14"/>
    <n v="1230"/>
    <x v="2"/>
    <n v="1"/>
    <n v="2"/>
    <n v="0"/>
    <n v="0"/>
    <n v="2"/>
    <n v="0"/>
    <m/>
    <s v="2021-2022"/>
    <n v="11"/>
  </r>
  <r>
    <x v="185"/>
    <s v="wls"/>
    <s v="WAL"/>
    <s v="DF,MF"/>
    <x v="7"/>
    <n v="20"/>
    <n v="2000"/>
    <n v="21"/>
    <n v="20"/>
    <n v="1756"/>
    <x v="0"/>
    <n v="1"/>
    <n v="0"/>
    <n v="0"/>
    <n v="0"/>
    <n v="3"/>
    <n v="0"/>
    <m/>
    <s v="2021-2022"/>
    <n v="25"/>
  </r>
  <r>
    <x v="187"/>
    <s v="sct"/>
    <s v="SCO"/>
    <s v="FW,DF"/>
    <x v="0"/>
    <n v="29"/>
    <n v="1992"/>
    <n v="16"/>
    <n v="12"/>
    <n v="1048"/>
    <x v="1"/>
    <n v="3"/>
    <n v="1"/>
    <n v="0"/>
    <n v="0"/>
    <n v="0"/>
    <n v="0"/>
    <m/>
    <s v="2021-2022"/>
    <n v="27"/>
  </r>
  <r>
    <x v="349"/>
    <s v="sct"/>
    <s v="SCO"/>
    <s v="MF,DF"/>
    <x v="12"/>
    <n v="29"/>
    <n v="1992"/>
    <n v="16"/>
    <n v="16"/>
    <n v="1177"/>
    <x v="0"/>
    <n v="0"/>
    <n v="0"/>
    <n v="0"/>
    <n v="0"/>
    <n v="6"/>
    <n v="0"/>
    <m/>
    <s v="2021-2022"/>
    <n v="11"/>
  </r>
  <r>
    <x v="350"/>
    <s v="eng"/>
    <s v="ENG"/>
    <s v="DF"/>
    <x v="0"/>
    <n v="22"/>
    <n v="1999"/>
    <n v="10"/>
    <n v="0"/>
    <n v="115"/>
    <x v="0"/>
    <n v="0"/>
    <n v="0"/>
    <n v="0"/>
    <n v="0"/>
    <n v="0"/>
    <n v="0"/>
    <m/>
    <s v="2021-2022"/>
    <n v="27"/>
  </r>
  <r>
    <x v="189"/>
    <s v="eng"/>
    <s v="ENG"/>
    <s v="DF"/>
    <x v="9"/>
    <n v="22"/>
    <n v="1999"/>
    <n v="17"/>
    <n v="13"/>
    <n v="1210"/>
    <x v="2"/>
    <n v="2"/>
    <n v="2"/>
    <n v="0"/>
    <n v="0"/>
    <n v="1"/>
    <n v="0"/>
    <m/>
    <s v="2021-2022"/>
    <n v="55"/>
  </r>
  <r>
    <x v="351"/>
    <m/>
    <m/>
    <s v="FW,MF"/>
    <x v="12"/>
    <m/>
    <m/>
    <n v="3"/>
    <n v="0"/>
    <n v="28"/>
    <x v="0"/>
    <n v="0"/>
    <n v="0"/>
    <n v="0"/>
    <n v="0"/>
    <n v="0"/>
    <n v="0"/>
    <m/>
    <s v="2021-2022"/>
    <n v="11"/>
  </r>
  <r>
    <x v="352"/>
    <s v="ie"/>
    <s v="IRL"/>
    <s v="DF"/>
    <x v="12"/>
    <n v="31"/>
    <n v="1990"/>
    <n v="22"/>
    <n v="22"/>
    <n v="1980"/>
    <x v="4"/>
    <n v="0"/>
    <n v="5"/>
    <n v="0"/>
    <n v="0"/>
    <n v="0"/>
    <n v="0"/>
    <m/>
    <s v="2021-2022"/>
    <n v="11"/>
  </r>
  <r>
    <x v="353"/>
    <s v="eng"/>
    <s v="ENG"/>
    <s v="DF"/>
    <x v="5"/>
    <n v="29"/>
    <n v="1991"/>
    <n v="13"/>
    <n v="13"/>
    <n v="1148"/>
    <x v="0"/>
    <n v="2"/>
    <n v="0"/>
    <n v="0"/>
    <n v="0"/>
    <n v="0"/>
    <n v="0"/>
    <m/>
    <s v="2021-2022"/>
    <n v="47"/>
  </r>
  <r>
    <x v="191"/>
    <s v="sct"/>
    <s v="SCO"/>
    <s v="MF"/>
    <x v="2"/>
    <n v="24"/>
    <n v="1996"/>
    <n v="16"/>
    <n v="10"/>
    <n v="902"/>
    <x v="0"/>
    <n v="0"/>
    <n v="0"/>
    <n v="0"/>
    <n v="0"/>
    <n v="2"/>
    <n v="0"/>
    <m/>
    <s v="2021-2022"/>
    <n v="20"/>
  </r>
  <r>
    <x v="354"/>
    <m/>
    <m/>
    <s v="GK"/>
    <x v="12"/>
    <m/>
    <m/>
    <n v="1"/>
    <n v="0"/>
    <n v="62"/>
    <x v="0"/>
    <n v="0"/>
    <n v="0"/>
    <n v="0"/>
    <n v="0"/>
    <n v="0"/>
    <n v="0"/>
    <m/>
    <s v="2021-2022"/>
    <n v="11"/>
  </r>
  <r>
    <x v="192"/>
    <s v="eng"/>
    <s v="ENG"/>
    <s v="DF,MF"/>
    <x v="0"/>
    <n v="22"/>
    <n v="1998"/>
    <n v="14"/>
    <n v="8"/>
    <n v="842"/>
    <x v="0"/>
    <n v="0"/>
    <n v="0"/>
    <n v="0"/>
    <n v="0"/>
    <n v="1"/>
    <n v="0"/>
    <m/>
    <s v="2021-2022"/>
    <n v="27"/>
  </r>
  <r>
    <x v="355"/>
    <s v="ie"/>
    <s v="IRL"/>
    <s v="FW,MF"/>
    <x v="12"/>
    <n v="27"/>
    <n v="1993"/>
    <n v="22"/>
    <n v="19"/>
    <n v="1668"/>
    <x v="1"/>
    <n v="3"/>
    <n v="1"/>
    <n v="0"/>
    <n v="0"/>
    <n v="1"/>
    <n v="0"/>
    <m/>
    <s v="2021-2022"/>
    <n v="11"/>
  </r>
  <r>
    <x v="193"/>
    <s v="eng"/>
    <s v="ENG"/>
    <s v="MF,FW"/>
    <x v="3"/>
    <n v="28"/>
    <n v="1992"/>
    <n v="12"/>
    <n v="7"/>
    <n v="570"/>
    <x v="2"/>
    <n v="0"/>
    <n v="2"/>
    <n v="0"/>
    <n v="0"/>
    <n v="2"/>
    <n v="0"/>
    <m/>
    <s v="2021-2022"/>
    <n v="42"/>
  </r>
  <r>
    <x v="356"/>
    <s v="eng"/>
    <s v="ENG"/>
    <s v="MF,FW"/>
    <x v="12"/>
    <n v="25"/>
    <n v="1995"/>
    <n v="11"/>
    <n v="4"/>
    <n v="532"/>
    <x v="0"/>
    <n v="0"/>
    <n v="0"/>
    <n v="0"/>
    <n v="0"/>
    <n v="0"/>
    <n v="0"/>
    <m/>
    <s v="2021-2022"/>
    <n v="11"/>
  </r>
  <r>
    <x v="195"/>
    <s v="au"/>
    <s v="AUS"/>
    <s v="GK"/>
    <x v="9"/>
    <n v="33"/>
    <n v="1988"/>
    <n v="2"/>
    <n v="2"/>
    <n v="180"/>
    <x v="0"/>
    <n v="0"/>
    <n v="0"/>
    <n v="0"/>
    <n v="0"/>
    <n v="0"/>
    <n v="0"/>
    <m/>
    <s v="2021-2022"/>
    <n v="55"/>
  </r>
  <r>
    <x v="196"/>
    <s v="au"/>
    <s v="AUS"/>
    <s v="GK"/>
    <x v="0"/>
    <n v="27"/>
    <n v="1994"/>
    <n v="18"/>
    <n v="18"/>
    <n v="1620"/>
    <x v="0"/>
    <n v="0"/>
    <n v="0"/>
    <n v="0"/>
    <n v="0"/>
    <n v="0"/>
    <n v="0"/>
    <m/>
    <s v="2021-2022"/>
    <n v="27"/>
  </r>
  <r>
    <x v="197"/>
    <m/>
    <m/>
    <s v="MF,FW"/>
    <x v="1"/>
    <m/>
    <m/>
    <n v="3"/>
    <n v="0"/>
    <n v="110"/>
    <x v="0"/>
    <n v="0"/>
    <n v="0"/>
    <n v="0"/>
    <n v="0"/>
    <n v="0"/>
    <n v="0"/>
    <m/>
    <s v="2021-2022"/>
    <n v="13"/>
  </r>
  <r>
    <x v="357"/>
    <s v="fr"/>
    <s v="FRA"/>
    <s v="MF"/>
    <x v="8"/>
    <n v="28"/>
    <n v="1992"/>
    <n v="21"/>
    <n v="21"/>
    <n v="1735"/>
    <x v="0"/>
    <n v="0"/>
    <n v="0"/>
    <n v="0"/>
    <n v="0"/>
    <n v="7"/>
    <n v="0"/>
    <m/>
    <s v="2021-2022"/>
    <n v="32"/>
  </r>
  <r>
    <x v="199"/>
    <s v="se"/>
    <s v="SWE"/>
    <s v="DF"/>
    <x v="4"/>
    <n v="27"/>
    <n v="1993"/>
    <n v="16"/>
    <n v="13"/>
    <n v="1256"/>
    <x v="1"/>
    <n v="0"/>
    <n v="1"/>
    <n v="0"/>
    <n v="0"/>
    <n v="1"/>
    <n v="0"/>
    <m/>
    <s v="2021-2022"/>
    <n v="56"/>
  </r>
  <r>
    <x v="200"/>
    <s v="eng"/>
    <s v="ENG"/>
    <s v="FW"/>
    <x v="10"/>
    <n v="18"/>
    <n v="2003"/>
    <n v="16"/>
    <n v="1"/>
    <n v="373"/>
    <x v="1"/>
    <n v="2"/>
    <n v="1"/>
    <n v="0"/>
    <n v="0"/>
    <n v="2"/>
    <n v="0"/>
    <m/>
    <s v="2021-2022"/>
    <n v="26"/>
  </r>
  <r>
    <x v="201"/>
    <s v="jp"/>
    <s v="JPN"/>
    <s v="MF,FW"/>
    <x v="9"/>
    <n v="28"/>
    <n v="1993"/>
    <n v="11"/>
    <n v="5"/>
    <n v="491"/>
    <x v="1"/>
    <n v="1"/>
    <n v="1"/>
    <n v="0"/>
    <n v="0"/>
    <n v="1"/>
    <n v="0"/>
    <m/>
    <s v="2021-2022"/>
    <n v="55"/>
  </r>
  <r>
    <x v="202"/>
    <s v="at"/>
    <s v="AUT"/>
    <s v="GK"/>
    <x v="9"/>
    <n v="25"/>
    <n v="1995"/>
    <n v="20"/>
    <n v="20"/>
    <n v="1800"/>
    <x v="0"/>
    <n v="0"/>
    <n v="0"/>
    <n v="0"/>
    <n v="0"/>
    <n v="0"/>
    <n v="0"/>
    <m/>
    <s v="2021-2022"/>
    <n v="55"/>
  </r>
  <r>
    <x v="203"/>
    <s v="no"/>
    <s v="NOR"/>
    <s v="DF,FW"/>
    <x v="4"/>
    <n v="31"/>
    <n v="1989"/>
    <n v="4"/>
    <n v="0"/>
    <n v="56"/>
    <x v="0"/>
    <n v="0"/>
    <n v="0"/>
    <n v="0"/>
    <n v="0"/>
    <n v="0"/>
    <n v="0"/>
    <m/>
    <s v="2021-2022"/>
    <n v="56"/>
  </r>
  <r>
    <x v="204"/>
    <s v="no"/>
    <s v="NOR"/>
    <s v="DF"/>
    <x v="3"/>
    <n v="28"/>
    <n v="1993"/>
    <n v="20"/>
    <n v="17"/>
    <n v="1642"/>
    <x v="1"/>
    <n v="0"/>
    <n v="1"/>
    <n v="0"/>
    <n v="0"/>
    <n v="1"/>
    <n v="0"/>
    <m/>
    <s v="2021-2022"/>
    <n v="42"/>
  </r>
  <r>
    <x v="358"/>
    <s v="ie"/>
    <s v="IRL"/>
    <s v="GK"/>
    <x v="12"/>
    <n v="34"/>
    <n v="1987"/>
    <n v="7"/>
    <n v="7"/>
    <n v="630"/>
    <x v="0"/>
    <n v="0"/>
    <n v="0"/>
    <n v="0"/>
    <n v="0"/>
    <n v="0"/>
    <n v="0"/>
    <m/>
    <s v="2021-2022"/>
    <n v="11"/>
  </r>
  <r>
    <x v="359"/>
    <s v="de"/>
    <s v="GER"/>
    <s v="MF"/>
    <x v="6"/>
    <n v="32"/>
    <n v="1989"/>
    <n v="5"/>
    <n v="3"/>
    <n v="216"/>
    <x v="0"/>
    <n v="0"/>
    <n v="0"/>
    <n v="0"/>
    <n v="0"/>
    <n v="0"/>
    <n v="0"/>
    <m/>
    <s v="2021-2022"/>
    <n v="21"/>
  </r>
  <r>
    <x v="360"/>
    <s v="eng"/>
    <s v="ENG"/>
    <s v="DF"/>
    <x v="3"/>
    <n v="26"/>
    <n v="1994"/>
    <n v="1"/>
    <n v="0"/>
    <n v="11"/>
    <x v="0"/>
    <n v="0"/>
    <n v="0"/>
    <n v="0"/>
    <n v="0"/>
    <n v="0"/>
    <n v="0"/>
    <m/>
    <s v="2021-2022"/>
    <n v="42"/>
  </r>
  <r>
    <x v="205"/>
    <s v="sct"/>
    <s v="SCO"/>
    <s v="FW"/>
    <x v="3"/>
    <n v="25"/>
    <n v="1996"/>
    <n v="18"/>
    <n v="9"/>
    <n v="902"/>
    <x v="4"/>
    <n v="2"/>
    <n v="5"/>
    <n v="0"/>
    <n v="0"/>
    <n v="0"/>
    <n v="0"/>
    <m/>
    <s v="2021-2022"/>
    <n v="42"/>
  </r>
  <r>
    <x v="206"/>
    <s v="eng"/>
    <s v="ENG"/>
    <s v="GK"/>
    <x v="3"/>
    <n v="28"/>
    <n v="1993"/>
    <n v="22"/>
    <n v="22"/>
    <n v="1980"/>
    <x v="0"/>
    <n v="0"/>
    <n v="0"/>
    <n v="0"/>
    <n v="0"/>
    <n v="0"/>
    <n v="0"/>
    <m/>
    <s v="2021-2022"/>
    <n v="42"/>
  </r>
  <r>
    <x v="208"/>
    <s v="eng"/>
    <s v="ENG"/>
    <s v="DF"/>
    <x v="10"/>
    <n v="19"/>
    <n v="2002"/>
    <n v="22"/>
    <n v="22"/>
    <n v="1980"/>
    <x v="1"/>
    <n v="0"/>
    <n v="1"/>
    <n v="0"/>
    <n v="0"/>
    <n v="3"/>
    <n v="0"/>
    <m/>
    <s v="2021-2022"/>
    <n v="26"/>
  </r>
  <r>
    <x v="209"/>
    <s v="eng"/>
    <s v="ENG"/>
    <s v="DF"/>
    <x v="6"/>
    <n v="22"/>
    <n v="1998"/>
    <n v="22"/>
    <n v="22"/>
    <n v="1980"/>
    <x v="0"/>
    <n v="0"/>
    <n v="0"/>
    <n v="0"/>
    <n v="0"/>
    <n v="3"/>
    <n v="0"/>
    <m/>
    <s v="2021-2022"/>
    <n v="21"/>
  </r>
  <r>
    <x v="361"/>
    <s v="eng"/>
    <s v="ENG"/>
    <s v="DF"/>
    <x v="6"/>
    <n v="27"/>
    <n v="1994"/>
    <n v="12"/>
    <n v="10"/>
    <n v="818"/>
    <x v="0"/>
    <n v="0"/>
    <n v="0"/>
    <n v="0"/>
    <n v="0"/>
    <n v="0"/>
    <n v="0"/>
    <m/>
    <s v="2021-2022"/>
    <n v="21"/>
  </r>
  <r>
    <x v="211"/>
    <s v="ie"/>
    <s v="IRL"/>
    <s v="MF"/>
    <x v="10"/>
    <n v="24"/>
    <n v="1997"/>
    <n v="20"/>
    <n v="16"/>
    <n v="1448"/>
    <x v="0"/>
    <n v="2"/>
    <n v="0"/>
    <n v="0"/>
    <n v="0"/>
    <n v="1"/>
    <n v="0"/>
    <m/>
    <s v="2021-2022"/>
    <n v="26"/>
  </r>
  <r>
    <x v="212"/>
    <s v="eng"/>
    <s v="ENG"/>
    <s v="DF"/>
    <x v="2"/>
    <n v="23"/>
    <n v="1998"/>
    <n v="16"/>
    <n v="12"/>
    <n v="1106"/>
    <x v="1"/>
    <n v="0"/>
    <n v="1"/>
    <n v="0"/>
    <n v="0"/>
    <n v="1"/>
    <n v="0"/>
    <m/>
    <s v="2021-2022"/>
    <n v="20"/>
  </r>
  <r>
    <x v="213"/>
    <s v="ie"/>
    <s v="IRL"/>
    <s v="GK"/>
    <x v="10"/>
    <n v="26"/>
    <n v="1994"/>
    <n v="20"/>
    <n v="20"/>
    <n v="1800"/>
    <x v="0"/>
    <n v="0"/>
    <n v="0"/>
    <n v="0"/>
    <n v="0"/>
    <n v="1"/>
    <n v="0"/>
    <m/>
    <s v="2021-2022"/>
    <n v="26"/>
  </r>
  <r>
    <x v="214"/>
    <s v="de"/>
    <s v="GER"/>
    <s v="MF"/>
    <x v="4"/>
    <n v="27"/>
    <n v="1994"/>
    <n v="7"/>
    <n v="6"/>
    <n v="513"/>
    <x v="0"/>
    <n v="1"/>
    <n v="0"/>
    <n v="0"/>
    <n v="0"/>
    <n v="0"/>
    <n v="0"/>
    <m/>
    <s v="2021-2022"/>
    <n v="56"/>
  </r>
  <r>
    <x v="215"/>
    <s v="eng"/>
    <s v="ENG"/>
    <s v="MF,FW"/>
    <x v="0"/>
    <n v="19"/>
    <n v="2002"/>
    <n v="19"/>
    <n v="4"/>
    <n v="389"/>
    <x v="0"/>
    <n v="0"/>
    <n v="0"/>
    <n v="0"/>
    <n v="0"/>
    <n v="0"/>
    <n v="0"/>
    <m/>
    <s v="2021-2022"/>
    <n v="27"/>
  </r>
  <r>
    <x v="218"/>
    <s v="eng"/>
    <s v="ENG"/>
    <s v="DF"/>
    <x v="4"/>
    <n v="27"/>
    <n v="1993"/>
    <n v="22"/>
    <n v="22"/>
    <n v="1971"/>
    <x v="0"/>
    <n v="0"/>
    <n v="0"/>
    <n v="0"/>
    <n v="0"/>
    <n v="3"/>
    <n v="0"/>
    <m/>
    <s v="2021-2022"/>
    <n v="56"/>
  </r>
  <r>
    <x v="219"/>
    <s v="eng"/>
    <s v="ENG"/>
    <s v="DF"/>
    <x v="3"/>
    <n v="25"/>
    <n v="1996"/>
    <n v="4"/>
    <n v="4"/>
    <n v="258"/>
    <x v="0"/>
    <n v="0"/>
    <n v="0"/>
    <n v="0"/>
    <n v="0"/>
    <n v="0"/>
    <n v="0"/>
    <m/>
    <s v="2021-2022"/>
    <n v="42"/>
  </r>
  <r>
    <x v="222"/>
    <s v="eng"/>
    <s v="ENG"/>
    <s v="MF,FW"/>
    <x v="1"/>
    <n v="18"/>
    <n v="2003"/>
    <n v="6"/>
    <n v="4"/>
    <n v="345"/>
    <x v="0"/>
    <n v="0"/>
    <n v="0"/>
    <n v="0"/>
    <n v="0"/>
    <n v="1"/>
    <n v="0"/>
    <m/>
    <s v="2021-2022"/>
    <n v="13"/>
  </r>
  <r>
    <x v="223"/>
    <s v="eng"/>
    <s v="ENG"/>
    <s v="DF"/>
    <x v="8"/>
    <n v="25"/>
    <n v="1996"/>
    <n v="22"/>
    <n v="22"/>
    <n v="1980"/>
    <x v="0"/>
    <n v="1"/>
    <n v="0"/>
    <n v="0"/>
    <n v="0"/>
    <n v="2"/>
    <n v="0"/>
    <m/>
    <s v="2021-2022"/>
    <n v="32"/>
  </r>
  <r>
    <x v="224"/>
    <s v="eng"/>
    <s v="ENG"/>
    <s v="MF"/>
    <x v="1"/>
    <n v="20"/>
    <n v="2001"/>
    <n v="21"/>
    <n v="20"/>
    <n v="1777"/>
    <x v="0"/>
    <n v="2"/>
    <n v="0"/>
    <n v="0"/>
    <n v="0"/>
    <n v="0"/>
    <n v="0"/>
    <m/>
    <s v="2021-2022"/>
    <n v="13"/>
  </r>
  <r>
    <x v="225"/>
    <s v="eng"/>
    <s v="ENG"/>
    <s v="MF"/>
    <x v="1"/>
    <n v="16"/>
    <n v="2004"/>
    <n v="1"/>
    <n v="0"/>
    <n v="12"/>
    <x v="0"/>
    <n v="0"/>
    <n v="0"/>
    <n v="0"/>
    <n v="0"/>
    <n v="0"/>
    <n v="0"/>
    <m/>
    <s v="2021-2022"/>
    <n v="13"/>
  </r>
  <r>
    <x v="362"/>
    <s v="eng"/>
    <s v="ENG"/>
    <s v="MF"/>
    <x v="6"/>
    <n v="21"/>
    <n v="1999"/>
    <n v="1"/>
    <n v="0"/>
    <n v="1"/>
    <x v="0"/>
    <n v="0"/>
    <n v="0"/>
    <n v="0"/>
    <n v="0"/>
    <n v="0"/>
    <n v="0"/>
    <m/>
    <s v="2021-2022"/>
    <n v="21"/>
  </r>
  <r>
    <x v="226"/>
    <s v="eng"/>
    <s v="ENG"/>
    <s v="FW"/>
    <x v="7"/>
    <n v="33"/>
    <n v="1988"/>
    <n v="17"/>
    <n v="16"/>
    <n v="1374"/>
    <x v="7"/>
    <n v="1"/>
    <n v="5"/>
    <n v="1"/>
    <n v="2"/>
    <n v="0"/>
    <n v="0"/>
    <m/>
    <s v="2021-2022"/>
    <n v="25"/>
  </r>
  <r>
    <x v="227"/>
    <s v="eng"/>
    <s v="ENG"/>
    <s v="FW,MF"/>
    <x v="1"/>
    <n v="24"/>
    <n v="1996"/>
    <n v="21"/>
    <n v="13"/>
    <n v="1253"/>
    <x v="2"/>
    <n v="1"/>
    <n v="2"/>
    <n v="0"/>
    <n v="0"/>
    <n v="2"/>
    <n v="0"/>
    <m/>
    <s v="2021-2022"/>
    <n v="13"/>
  </r>
  <r>
    <x v="228"/>
    <s v="wls"/>
    <s v="WAL"/>
    <s v="DF,MF"/>
    <x v="7"/>
    <n v="32"/>
    <n v="1989"/>
    <n v="22"/>
    <n v="21"/>
    <n v="1821"/>
    <x v="0"/>
    <n v="0"/>
    <n v="0"/>
    <n v="0"/>
    <n v="0"/>
    <n v="3"/>
    <n v="0"/>
    <m/>
    <s v="2021-2022"/>
    <n v="25"/>
  </r>
  <r>
    <x v="229"/>
    <s v="se"/>
    <s v="SWE"/>
    <s v="DF"/>
    <x v="2"/>
    <n v="24"/>
    <n v="1997"/>
    <n v="16"/>
    <n v="14"/>
    <n v="1135"/>
    <x v="1"/>
    <n v="0"/>
    <n v="1"/>
    <n v="0"/>
    <n v="0"/>
    <n v="1"/>
    <n v="0"/>
    <m/>
    <s v="2021-2022"/>
    <n v="20"/>
  </r>
  <r>
    <x v="230"/>
    <s v="eng"/>
    <s v="ENG"/>
    <s v="DF,MF"/>
    <x v="4"/>
    <n v="22"/>
    <n v="1999"/>
    <n v="20"/>
    <n v="12"/>
    <n v="1039"/>
    <x v="1"/>
    <n v="1"/>
    <n v="1"/>
    <n v="0"/>
    <n v="0"/>
    <n v="0"/>
    <n v="0"/>
    <m/>
    <s v="2021-2022"/>
    <n v="56"/>
  </r>
  <r>
    <x v="232"/>
    <s v="dk"/>
    <s v="DEN"/>
    <s v="DF,FW"/>
    <x v="2"/>
    <n v="23"/>
    <n v="1997"/>
    <n v="3"/>
    <n v="1"/>
    <n v="96"/>
    <x v="0"/>
    <n v="0"/>
    <n v="0"/>
    <n v="0"/>
    <n v="0"/>
    <n v="0"/>
    <n v="0"/>
    <m/>
    <s v="2021-2022"/>
    <n v="20"/>
  </r>
  <r>
    <x v="233"/>
    <s v="eng"/>
    <s v="ENG"/>
    <s v="FW"/>
    <x v="9"/>
    <n v="27"/>
    <n v="1994"/>
    <n v="18"/>
    <n v="5"/>
    <n v="609"/>
    <x v="1"/>
    <n v="3"/>
    <n v="0"/>
    <n v="1"/>
    <n v="1"/>
    <n v="2"/>
    <n v="0"/>
    <m/>
    <s v="2021-2022"/>
    <n v="55"/>
  </r>
  <r>
    <x v="235"/>
    <s v="ch"/>
    <s v="SUI"/>
    <s v="DF"/>
    <x v="9"/>
    <n v="25"/>
    <n v="1995"/>
    <n v="19"/>
    <n v="19"/>
    <n v="1585"/>
    <x v="0"/>
    <n v="1"/>
    <n v="0"/>
    <n v="0"/>
    <n v="0"/>
    <n v="3"/>
    <n v="0"/>
    <m/>
    <s v="2021-2022"/>
    <n v="55"/>
  </r>
  <r>
    <x v="236"/>
    <s v="eng"/>
    <s v="ENG"/>
    <s v="MF,DF"/>
    <x v="6"/>
    <n v="16"/>
    <n v="2004"/>
    <n v="11"/>
    <n v="3"/>
    <n v="450"/>
    <x v="0"/>
    <n v="0"/>
    <n v="0"/>
    <n v="0"/>
    <n v="0"/>
    <n v="0"/>
    <n v="0"/>
    <m/>
    <s v="2021-2022"/>
    <n v="21"/>
  </r>
  <r>
    <x v="237"/>
    <s v="es"/>
    <s v="ESP"/>
    <s v="DF"/>
    <x v="3"/>
    <n v="22"/>
    <n v="1999"/>
    <n v="21"/>
    <n v="21"/>
    <n v="1869"/>
    <x v="1"/>
    <n v="3"/>
    <n v="1"/>
    <n v="0"/>
    <n v="0"/>
    <n v="2"/>
    <n v="0"/>
    <m/>
    <s v="2021-2022"/>
    <n v="42"/>
  </r>
  <r>
    <x v="363"/>
    <s v="jm"/>
    <s v="JAM"/>
    <s v="FW,DF"/>
    <x v="1"/>
    <n v="19"/>
    <n v="2001"/>
    <n v="12"/>
    <n v="4"/>
    <n v="358"/>
    <x v="0"/>
    <n v="0"/>
    <n v="0"/>
    <n v="0"/>
    <n v="0"/>
    <n v="1"/>
    <n v="0"/>
    <m/>
    <s v="2021-2022"/>
    <n v="13"/>
  </r>
  <r>
    <x v="239"/>
    <s v="dk"/>
    <s v="DEN"/>
    <s v="FW,MF"/>
    <x v="4"/>
    <n v="28"/>
    <n v="1992"/>
    <n v="16"/>
    <n v="13"/>
    <n v="1193"/>
    <x v="7"/>
    <n v="3"/>
    <n v="5"/>
    <n v="1"/>
    <n v="1"/>
    <n v="1"/>
    <n v="0"/>
    <m/>
    <s v="2021-2022"/>
    <n v="56"/>
  </r>
  <r>
    <x v="240"/>
    <s v="eng"/>
    <s v="ENG"/>
    <s v="DF"/>
    <x v="2"/>
    <n v="21"/>
    <n v="2000"/>
    <n v="17"/>
    <n v="7"/>
    <n v="753"/>
    <x v="0"/>
    <n v="0"/>
    <n v="0"/>
    <n v="0"/>
    <n v="0"/>
    <n v="0"/>
    <n v="0"/>
    <m/>
    <s v="2021-2022"/>
    <n v="20"/>
  </r>
  <r>
    <x v="243"/>
    <s v="sct"/>
    <s v="SCO"/>
    <s v="DF,MF"/>
    <x v="6"/>
    <n v="31"/>
    <n v="1989"/>
    <n v="6"/>
    <n v="5"/>
    <n v="479"/>
    <x v="0"/>
    <n v="1"/>
    <n v="0"/>
    <n v="0"/>
    <n v="0"/>
    <n v="1"/>
    <n v="0"/>
    <m/>
    <s v="2021-2022"/>
    <n v="21"/>
  </r>
  <r>
    <x v="246"/>
    <s v="wls"/>
    <s v="WAL"/>
    <s v="MF,FW"/>
    <x v="7"/>
    <n v="28"/>
    <n v="1992"/>
    <n v="14"/>
    <n v="9"/>
    <n v="941"/>
    <x v="1"/>
    <n v="3"/>
    <n v="1"/>
    <n v="0"/>
    <n v="0"/>
    <n v="1"/>
    <n v="0"/>
    <m/>
    <s v="2021-2022"/>
    <n v="25"/>
  </r>
  <r>
    <x v="247"/>
    <s v="eng"/>
    <s v="ENG"/>
    <s v="FW"/>
    <x v="8"/>
    <n v="33"/>
    <n v="1988"/>
    <n v="22"/>
    <n v="21"/>
    <n v="1803"/>
    <x v="8"/>
    <n v="2"/>
    <n v="4"/>
    <n v="0"/>
    <n v="0"/>
    <n v="5"/>
    <n v="1"/>
    <m/>
    <s v="2021-2022"/>
    <n v="32"/>
  </r>
  <r>
    <x v="248"/>
    <s v="br"/>
    <s v="BRA"/>
    <s v="DF"/>
    <x v="9"/>
    <n v="30"/>
    <n v="1991"/>
    <n v="6"/>
    <n v="4"/>
    <n v="399"/>
    <x v="1"/>
    <n v="0"/>
    <n v="1"/>
    <n v="0"/>
    <n v="0"/>
    <n v="0"/>
    <n v="0"/>
    <m/>
    <s v="2021-2022"/>
    <n v="55"/>
  </r>
  <r>
    <x v="249"/>
    <s v="de"/>
    <s v="GER"/>
    <s v="FW,MF"/>
    <x v="6"/>
    <n v="28"/>
    <n v="1992"/>
    <n v="19"/>
    <n v="18"/>
    <n v="1655"/>
    <x v="5"/>
    <n v="1"/>
    <n v="3"/>
    <n v="0"/>
    <n v="0"/>
    <n v="1"/>
    <n v="0"/>
    <m/>
    <s v="2021-2022"/>
    <n v="21"/>
  </r>
  <r>
    <x v="364"/>
    <s v="nir"/>
    <s v="NIR"/>
    <s v="DF,MF"/>
    <x v="12"/>
    <n v="25"/>
    <n v="1995"/>
    <n v="17"/>
    <n v="16"/>
    <n v="1467"/>
    <x v="0"/>
    <n v="1"/>
    <n v="0"/>
    <n v="0"/>
    <n v="0"/>
    <n v="1"/>
    <n v="0"/>
    <m/>
    <s v="2021-2022"/>
    <n v="11"/>
  </r>
  <r>
    <x v="251"/>
    <s v="jm"/>
    <s v="JAM"/>
    <s v="GK"/>
    <x v="8"/>
    <n v="30"/>
    <n v="1991"/>
    <n v="11"/>
    <n v="11"/>
    <n v="990"/>
    <x v="0"/>
    <n v="0"/>
    <n v="0"/>
    <n v="0"/>
    <n v="0"/>
    <n v="0"/>
    <n v="0"/>
    <m/>
    <s v="2021-2022"/>
    <n v="32"/>
  </r>
  <r>
    <x v="253"/>
    <s v="eng"/>
    <s v="ENG"/>
    <s v="MF"/>
    <x v="6"/>
    <n v="30"/>
    <n v="1990"/>
    <n v="19"/>
    <n v="19"/>
    <n v="1694"/>
    <x v="5"/>
    <n v="0"/>
    <n v="3"/>
    <n v="0"/>
    <n v="0"/>
    <n v="2"/>
    <n v="0"/>
    <m/>
    <s v="2021-2022"/>
    <n v="21"/>
  </r>
  <r>
    <x v="365"/>
    <s v="eng"/>
    <s v="ENG"/>
    <s v="GK"/>
    <x v="7"/>
    <m/>
    <m/>
    <n v="3"/>
    <n v="2"/>
    <n v="226"/>
    <x v="0"/>
    <n v="0"/>
    <n v="0"/>
    <n v="0"/>
    <n v="0"/>
    <n v="0"/>
    <n v="0"/>
    <m/>
    <s v="2021-2022"/>
    <n v="25"/>
  </r>
  <r>
    <x v="256"/>
    <s v="nz"/>
    <s v="NZL"/>
    <s v="MF,DF"/>
    <x v="8"/>
    <n v="31"/>
    <n v="1989"/>
    <n v="17"/>
    <n v="17"/>
    <n v="1511"/>
    <x v="2"/>
    <n v="2"/>
    <n v="2"/>
    <n v="0"/>
    <n v="0"/>
    <n v="3"/>
    <n v="0"/>
    <m/>
    <s v="2021-2022"/>
    <n v="32"/>
  </r>
  <r>
    <x v="257"/>
    <s v="dk"/>
    <s v="DEN"/>
    <s v="DF"/>
    <x v="2"/>
    <n v="25"/>
    <n v="1996"/>
    <n v="11"/>
    <n v="9"/>
    <n v="843"/>
    <x v="1"/>
    <n v="0"/>
    <n v="1"/>
    <n v="0"/>
    <n v="0"/>
    <n v="2"/>
    <n v="0"/>
    <m/>
    <s v="2021-2022"/>
    <n v="20"/>
  </r>
  <r>
    <x v="366"/>
    <s v="eng"/>
    <s v="ENG"/>
    <s v="FW"/>
    <x v="10"/>
    <n v="23"/>
    <n v="1998"/>
    <n v="3"/>
    <n v="1"/>
    <n v="93"/>
    <x v="0"/>
    <n v="0"/>
    <n v="0"/>
    <n v="0"/>
    <n v="0"/>
    <n v="0"/>
    <n v="0"/>
    <m/>
    <s v="2021-2022"/>
    <n v="26"/>
  </r>
  <r>
    <x v="259"/>
    <s v="ma"/>
    <s v="MAR"/>
    <s v="FW,MF"/>
    <x v="8"/>
    <n v="25"/>
    <n v="1996"/>
    <n v="17"/>
    <n v="7"/>
    <n v="754"/>
    <x v="1"/>
    <n v="0"/>
    <n v="0"/>
    <n v="1"/>
    <n v="1"/>
    <n v="3"/>
    <n v="0"/>
    <m/>
    <s v="2021-2022"/>
    <n v="32"/>
  </r>
  <r>
    <x v="260"/>
    <s v="eng"/>
    <s v="ENG"/>
    <s v="DF"/>
    <x v="5"/>
    <n v="17"/>
    <n v="2003"/>
    <n v="7"/>
    <n v="2"/>
    <n v="264"/>
    <x v="0"/>
    <n v="1"/>
    <n v="0"/>
    <n v="0"/>
    <n v="0"/>
    <n v="0"/>
    <n v="0"/>
    <m/>
    <s v="2021-2022"/>
    <n v="47"/>
  </r>
  <r>
    <x v="261"/>
    <s v="ie"/>
    <s v="IRL"/>
    <s v="MF"/>
    <x v="6"/>
    <n v="31"/>
    <n v="1990"/>
    <n v="17"/>
    <n v="11"/>
    <n v="995"/>
    <x v="0"/>
    <n v="0"/>
    <n v="0"/>
    <n v="0"/>
    <n v="0"/>
    <n v="4"/>
    <n v="0"/>
    <m/>
    <s v="2021-2022"/>
    <n v="21"/>
  </r>
  <r>
    <x v="263"/>
    <s v="au"/>
    <s v="AUS"/>
    <s v="FW"/>
    <x v="4"/>
    <n v="27"/>
    <n v="1993"/>
    <n v="20"/>
    <n v="17"/>
    <n v="1554"/>
    <x v="11"/>
    <n v="4"/>
    <n v="20"/>
    <n v="0"/>
    <n v="0"/>
    <n v="1"/>
    <n v="0"/>
    <m/>
    <s v="2021-2022"/>
    <n v="56"/>
  </r>
  <r>
    <x v="264"/>
    <s v="eng"/>
    <s v="ENG"/>
    <s v="MF,DF"/>
    <x v="1"/>
    <n v="22"/>
    <n v="1998"/>
    <n v="21"/>
    <n v="21"/>
    <n v="1854"/>
    <x v="2"/>
    <n v="0"/>
    <n v="2"/>
    <n v="0"/>
    <n v="0"/>
    <n v="6"/>
    <n v="0"/>
    <m/>
    <s v="2021-2022"/>
    <n v="13"/>
  </r>
  <r>
    <x v="265"/>
    <s v="eng"/>
    <s v="ENG"/>
    <s v="GK"/>
    <x v="2"/>
    <n v="23"/>
    <n v="1998"/>
    <n v="18"/>
    <n v="18"/>
    <n v="1620"/>
    <x v="0"/>
    <n v="0"/>
    <n v="0"/>
    <n v="0"/>
    <n v="0"/>
    <n v="0"/>
    <n v="0"/>
    <m/>
    <s v="2021-2022"/>
    <n v="20"/>
  </r>
  <r>
    <x v="266"/>
    <s v="dk"/>
    <s v="DEN"/>
    <s v="MF"/>
    <x v="7"/>
    <n v="32"/>
    <n v="1988"/>
    <n v="13"/>
    <n v="10"/>
    <n v="891"/>
    <x v="0"/>
    <n v="1"/>
    <n v="0"/>
    <n v="0"/>
    <n v="0"/>
    <n v="2"/>
    <n v="0"/>
    <m/>
    <s v="2021-2022"/>
    <n v="25"/>
  </r>
  <r>
    <x v="367"/>
    <s v="sct"/>
    <s v="SCO"/>
    <s v="FW,MF"/>
    <x v="12"/>
    <n v="29"/>
    <n v="1992"/>
    <n v="11"/>
    <n v="4"/>
    <n v="380"/>
    <x v="0"/>
    <n v="0"/>
    <n v="0"/>
    <n v="0"/>
    <n v="0"/>
    <n v="0"/>
    <n v="0"/>
    <m/>
    <s v="2021-2022"/>
    <n v="11"/>
  </r>
  <r>
    <x v="268"/>
    <s v="eng"/>
    <s v="ENG"/>
    <s v="DF"/>
    <x v="6"/>
    <n v="24"/>
    <n v="1997"/>
    <n v="21"/>
    <n v="21"/>
    <n v="1874"/>
    <x v="1"/>
    <n v="1"/>
    <n v="1"/>
    <n v="0"/>
    <n v="0"/>
    <n v="2"/>
    <n v="0"/>
    <m/>
    <s v="2021-2022"/>
    <n v="21"/>
  </r>
  <r>
    <x v="368"/>
    <s v="jm"/>
    <s v="JAM"/>
    <s v="FW"/>
    <x v="6"/>
    <n v="21"/>
    <n v="1999"/>
    <n v="13"/>
    <n v="3"/>
    <n v="420"/>
    <x v="0"/>
    <n v="0"/>
    <n v="0"/>
    <n v="0"/>
    <n v="0"/>
    <n v="1"/>
    <n v="0"/>
    <m/>
    <s v="2021-2022"/>
    <n v="21"/>
  </r>
  <r>
    <x v="271"/>
    <s v="eng"/>
    <s v="ENG"/>
    <s v="MF,FW"/>
    <x v="1"/>
    <n v="19"/>
    <n v="2001"/>
    <n v="21"/>
    <n v="21"/>
    <n v="1718"/>
    <x v="1"/>
    <n v="2"/>
    <n v="1"/>
    <n v="0"/>
    <n v="0"/>
    <n v="4"/>
    <n v="0"/>
    <m/>
    <s v="2021-2022"/>
    <n v="13"/>
  </r>
  <r>
    <x v="272"/>
    <s v="ca"/>
    <s v="CAN"/>
    <s v="DF"/>
    <x v="8"/>
    <n v="28"/>
    <n v="1992"/>
    <n v="21"/>
    <n v="21"/>
    <n v="1837"/>
    <x v="1"/>
    <n v="0"/>
    <n v="1"/>
    <n v="0"/>
    <n v="0"/>
    <n v="2"/>
    <n v="0"/>
    <m/>
    <s v="2021-2022"/>
    <n v="32"/>
  </r>
  <r>
    <x v="369"/>
    <s v="eng"/>
    <s v="ENG"/>
    <s v="GK"/>
    <x v="6"/>
    <n v="23"/>
    <n v="1998"/>
    <n v="3"/>
    <n v="2"/>
    <n v="207"/>
    <x v="0"/>
    <n v="0"/>
    <n v="0"/>
    <n v="0"/>
    <n v="0"/>
    <n v="0"/>
    <n v="0"/>
    <m/>
    <s v="2021-2022"/>
    <n v="21"/>
  </r>
  <r>
    <x v="370"/>
    <s v="dk"/>
    <s v="DEN"/>
    <s v="FW,MF"/>
    <x v="3"/>
    <n v="23"/>
    <n v="1998"/>
    <n v="5"/>
    <n v="2"/>
    <n v="192"/>
    <x v="0"/>
    <n v="0"/>
    <n v="0"/>
    <n v="0"/>
    <n v="0"/>
    <n v="0"/>
    <n v="0"/>
    <m/>
    <s v="2021-2022"/>
    <n v="42"/>
  </r>
  <r>
    <x v="371"/>
    <s v="dk"/>
    <s v="DEN"/>
    <s v="DF"/>
    <x v="9"/>
    <n v="29"/>
    <n v="1992"/>
    <n v="5"/>
    <n v="2"/>
    <n v="161"/>
    <x v="0"/>
    <n v="0"/>
    <n v="0"/>
    <n v="0"/>
    <n v="0"/>
    <n v="0"/>
    <n v="0"/>
    <m/>
    <s v="2021-2022"/>
    <n v="55"/>
  </r>
  <r>
    <x v="273"/>
    <s v="nir"/>
    <s v="NIR"/>
    <s v="FW,MF"/>
    <x v="2"/>
    <n v="26"/>
    <n v="1994"/>
    <n v="14"/>
    <n v="5"/>
    <n v="547"/>
    <x v="2"/>
    <n v="1"/>
    <n v="2"/>
    <n v="0"/>
    <n v="0"/>
    <n v="0"/>
    <n v="0"/>
    <m/>
    <s v="2021-2022"/>
    <n v="20"/>
  </r>
  <r>
    <x v="372"/>
    <s v="eng"/>
    <s v="ENG"/>
    <s v="MF,DF"/>
    <x v="1"/>
    <n v="30"/>
    <n v="1990"/>
    <n v="13"/>
    <n v="8"/>
    <n v="702"/>
    <x v="0"/>
    <n v="0"/>
    <n v="0"/>
    <n v="0"/>
    <n v="0"/>
    <n v="0"/>
    <n v="0"/>
    <m/>
    <s v="2021-2022"/>
    <n v="13"/>
  </r>
  <r>
    <x v="373"/>
    <s v="eng"/>
    <s v="ENG"/>
    <s v="GK"/>
    <x v="1"/>
    <n v="26"/>
    <n v="1994"/>
    <n v="1"/>
    <n v="1"/>
    <n v="90"/>
    <x v="0"/>
    <n v="0"/>
    <n v="0"/>
    <n v="0"/>
    <n v="0"/>
    <n v="0"/>
    <n v="0"/>
    <m/>
    <s v="2021-2022"/>
    <n v="13"/>
  </r>
  <r>
    <x v="276"/>
    <s v="sct"/>
    <s v="SCO"/>
    <s v="DF"/>
    <x v="1"/>
    <n v="27"/>
    <n v="1993"/>
    <n v="21"/>
    <n v="17"/>
    <n v="1664"/>
    <x v="1"/>
    <n v="0"/>
    <n v="1"/>
    <n v="0"/>
    <n v="0"/>
    <n v="0"/>
    <n v="0"/>
    <m/>
    <s v="2021-2022"/>
    <n v="13"/>
  </r>
  <r>
    <x v="277"/>
    <s v="wls"/>
    <s v="WAL"/>
    <s v="MF"/>
    <x v="4"/>
    <n v="29"/>
    <n v="1991"/>
    <n v="19"/>
    <n v="16"/>
    <n v="1446"/>
    <x v="0"/>
    <n v="1"/>
    <n v="0"/>
    <n v="0"/>
    <n v="0"/>
    <n v="2"/>
    <n v="0"/>
    <m/>
    <s v="2021-2022"/>
    <n v="56"/>
  </r>
  <r>
    <x v="278"/>
    <s v="au"/>
    <s v="AUS"/>
    <s v="DF"/>
    <x v="9"/>
    <n v="27"/>
    <n v="1994"/>
    <n v="18"/>
    <n v="14"/>
    <n v="1291"/>
    <x v="1"/>
    <n v="4"/>
    <n v="1"/>
    <n v="0"/>
    <n v="0"/>
    <n v="0"/>
    <n v="0"/>
    <m/>
    <s v="2021-2022"/>
    <n v="55"/>
  </r>
  <r>
    <x v="279"/>
    <s v="eng"/>
    <s v="ENG"/>
    <s v="DF"/>
    <x v="5"/>
    <n v="33"/>
    <n v="1988"/>
    <n v="5"/>
    <n v="4"/>
    <n v="364"/>
    <x v="1"/>
    <n v="0"/>
    <n v="1"/>
    <n v="0"/>
    <n v="0"/>
    <n v="0"/>
    <n v="0"/>
    <m/>
    <s v="2021-2022"/>
    <n v="47"/>
  </r>
  <r>
    <x v="280"/>
    <s v="se"/>
    <s v="SWE"/>
    <s v="FW"/>
    <x v="9"/>
    <n v="25"/>
    <n v="1996"/>
    <n v="11"/>
    <n v="7"/>
    <n v="631"/>
    <x v="7"/>
    <n v="1"/>
    <n v="6"/>
    <n v="0"/>
    <n v="0"/>
    <n v="0"/>
    <n v="0"/>
    <m/>
    <s v="2021-2022"/>
    <n v="55"/>
  </r>
  <r>
    <x v="374"/>
    <s v="au"/>
    <s v="AUS"/>
    <s v="MF,FW"/>
    <x v="0"/>
    <n v="30"/>
    <n v="1991"/>
    <n v="16"/>
    <n v="13"/>
    <n v="1204"/>
    <x v="1"/>
    <n v="0"/>
    <n v="1"/>
    <n v="0"/>
    <n v="0"/>
    <n v="1"/>
    <n v="0"/>
    <m/>
    <s v="2021-2022"/>
    <n v="27"/>
  </r>
  <r>
    <x v="375"/>
    <s v="cn"/>
    <s v="CHN"/>
    <s v="FW"/>
    <x v="8"/>
    <n v="26"/>
    <n v="1995"/>
    <n v="10"/>
    <n v="2"/>
    <n v="262"/>
    <x v="0"/>
    <n v="1"/>
    <n v="0"/>
    <n v="0"/>
    <n v="0"/>
    <n v="0"/>
    <n v="0"/>
    <m/>
    <s v="2021-2022"/>
    <n v="32"/>
  </r>
  <r>
    <x v="282"/>
    <s v="eng"/>
    <s v="ENG"/>
    <s v="DF"/>
    <x v="9"/>
    <n v="17"/>
    <n v="2004"/>
    <n v="1"/>
    <n v="0"/>
    <n v="5"/>
    <x v="0"/>
    <n v="0"/>
    <n v="0"/>
    <n v="0"/>
    <n v="0"/>
    <n v="0"/>
    <n v="0"/>
    <m/>
    <s v="2021-2022"/>
    <n v="55"/>
  </r>
  <r>
    <x v="284"/>
    <s v="eng"/>
    <s v="ENG"/>
    <s v="MF,FW"/>
    <x v="7"/>
    <n v="17"/>
    <n v="2004"/>
    <n v="10"/>
    <n v="3"/>
    <n v="214"/>
    <x v="1"/>
    <n v="0"/>
    <n v="1"/>
    <n v="0"/>
    <n v="0"/>
    <n v="2"/>
    <n v="0"/>
    <m/>
    <s v="2021-2022"/>
    <n v="25"/>
  </r>
  <r>
    <x v="286"/>
    <s v="fi"/>
    <s v="FIN"/>
    <s v="GK"/>
    <x v="8"/>
    <n v="35"/>
    <n v="1986"/>
    <n v="11"/>
    <n v="11"/>
    <n v="990"/>
    <x v="0"/>
    <n v="0"/>
    <n v="0"/>
    <n v="0"/>
    <n v="0"/>
    <n v="0"/>
    <n v="0"/>
    <m/>
    <s v="2021-2022"/>
    <n v="32"/>
  </r>
  <r>
    <x v="376"/>
    <s v="us"/>
    <s v="USA"/>
    <s v="FW,MF"/>
    <x v="9"/>
    <n v="33"/>
    <n v="1988"/>
    <n v="9"/>
    <n v="3"/>
    <n v="295"/>
    <x v="2"/>
    <n v="1"/>
    <n v="2"/>
    <n v="0"/>
    <n v="0"/>
    <n v="0"/>
    <n v="0"/>
    <m/>
    <s v="2021-2022"/>
    <n v="55"/>
  </r>
  <r>
    <x v="377"/>
    <s v="eng"/>
    <s v="ENG"/>
    <s v="FW"/>
    <x v="2"/>
    <n v="30"/>
    <n v="1991"/>
    <n v="22"/>
    <n v="18"/>
    <n v="1538"/>
    <x v="2"/>
    <n v="1"/>
    <n v="2"/>
    <n v="0"/>
    <n v="0"/>
    <n v="0"/>
    <n v="0"/>
    <m/>
    <s v="2021-2022"/>
    <n v="20"/>
  </r>
  <r>
    <x v="378"/>
    <s v="fr"/>
    <s v="FRA"/>
    <s v="FW"/>
    <x v="2"/>
    <n v="25"/>
    <n v="1996"/>
    <n v="12"/>
    <n v="3"/>
    <n v="371"/>
    <x v="0"/>
    <n v="0"/>
    <n v="0"/>
    <n v="0"/>
    <n v="0"/>
    <n v="0"/>
    <n v="0"/>
    <m/>
    <s v="2021-2022"/>
    <n v="20"/>
  </r>
  <r>
    <x v="287"/>
    <s v="gr"/>
    <s v="GRE"/>
    <s v="MF,FW"/>
    <x v="12"/>
    <n v="23"/>
    <n v="1998"/>
    <n v="21"/>
    <n v="19"/>
    <n v="1649"/>
    <x v="5"/>
    <n v="2"/>
    <n v="3"/>
    <n v="0"/>
    <n v="0"/>
    <n v="2"/>
    <n v="0"/>
    <m/>
    <s v="2021-2022"/>
    <n v="11"/>
  </r>
  <r>
    <x v="288"/>
    <s v="es"/>
    <s v="ESP"/>
    <s v="MF"/>
    <x v="5"/>
    <n v="30"/>
    <n v="1991"/>
    <n v="12"/>
    <n v="6"/>
    <n v="592"/>
    <x v="5"/>
    <n v="1"/>
    <n v="3"/>
    <n v="0"/>
    <n v="0"/>
    <n v="0"/>
    <n v="0"/>
    <m/>
    <s v="2021-2022"/>
    <n v="47"/>
  </r>
  <r>
    <x v="290"/>
    <s v="jm"/>
    <s v="JAM"/>
    <s v="DF"/>
    <x v="10"/>
    <n v="31"/>
    <n v="1990"/>
    <n v="21"/>
    <n v="21"/>
    <n v="1801"/>
    <x v="2"/>
    <n v="1"/>
    <n v="2"/>
    <n v="0"/>
    <n v="0"/>
    <n v="3"/>
    <n v="0"/>
    <m/>
    <s v="2021-2022"/>
    <n v="26"/>
  </r>
  <r>
    <x v="379"/>
    <s v="at"/>
    <s v="AUT"/>
    <s v="DF,MF"/>
    <x v="9"/>
    <n v="30"/>
    <n v="1991"/>
    <n v="2"/>
    <n v="0"/>
    <n v="32"/>
    <x v="0"/>
    <n v="0"/>
    <n v="0"/>
    <n v="0"/>
    <n v="0"/>
    <n v="0"/>
    <n v="0"/>
    <m/>
    <s v="2021-2022"/>
    <n v="55"/>
  </r>
  <r>
    <x v="379"/>
    <s v="at"/>
    <s v="AUT"/>
    <s v="DF"/>
    <x v="8"/>
    <n v="30"/>
    <n v="1991"/>
    <n v="4"/>
    <n v="3"/>
    <n v="241"/>
    <x v="0"/>
    <n v="0"/>
    <n v="0"/>
    <n v="0"/>
    <n v="0"/>
    <n v="0"/>
    <n v="0"/>
    <m/>
    <s v="2021-2022"/>
    <n v="32"/>
  </r>
  <r>
    <x v="291"/>
    <s v="no"/>
    <s v="NOR"/>
    <s v="MF,FW"/>
    <x v="3"/>
    <n v="26"/>
    <n v="1995"/>
    <n v="17"/>
    <n v="8"/>
    <n v="702"/>
    <x v="2"/>
    <n v="1"/>
    <n v="2"/>
    <n v="0"/>
    <n v="0"/>
    <n v="0"/>
    <n v="0"/>
    <m/>
    <s v="2021-2022"/>
    <n v="42"/>
  </r>
  <r>
    <x v="293"/>
    <s v="nl"/>
    <s v="NED"/>
    <s v="FW,MF"/>
    <x v="9"/>
    <n v="25"/>
    <n v="1996"/>
    <n v="22"/>
    <n v="21"/>
    <n v="1731"/>
    <x v="15"/>
    <n v="8"/>
    <n v="14"/>
    <n v="0"/>
    <n v="0"/>
    <n v="3"/>
    <n v="0"/>
    <m/>
    <s v="2021-2022"/>
    <n v="55"/>
  </r>
  <r>
    <x v="295"/>
    <s v="jp"/>
    <s v="JPN"/>
    <s v="MF,FW"/>
    <x v="0"/>
    <n v="24"/>
    <n v="1997"/>
    <n v="17"/>
    <n v="16"/>
    <n v="1459"/>
    <x v="2"/>
    <n v="2"/>
    <n v="2"/>
    <n v="0"/>
    <n v="0"/>
    <n v="0"/>
    <n v="0"/>
    <m/>
    <s v="2021-2022"/>
    <n v="27"/>
  </r>
  <r>
    <x v="380"/>
    <s v="us"/>
    <s v="USA"/>
    <s v="DF,MF"/>
    <x v="0"/>
    <n v="31"/>
    <n v="1990"/>
    <n v="18"/>
    <n v="13"/>
    <n v="1147"/>
    <x v="1"/>
    <n v="0"/>
    <n v="1"/>
    <n v="0"/>
    <n v="0"/>
    <n v="0"/>
    <n v="0"/>
    <m/>
    <s v="2021-2022"/>
    <n v="27"/>
  </r>
  <r>
    <x v="296"/>
    <s v="se"/>
    <s v="SWE"/>
    <s v="GK"/>
    <x v="4"/>
    <n v="25"/>
    <n v="1996"/>
    <n v="10"/>
    <n v="8"/>
    <n v="788"/>
    <x v="0"/>
    <n v="1"/>
    <n v="0"/>
    <n v="0"/>
    <n v="0"/>
    <n v="0"/>
    <n v="0"/>
    <m/>
    <s v="2021-2022"/>
    <n v="56"/>
  </r>
  <r>
    <x v="0"/>
    <s v="eng"/>
    <s v="ENG"/>
    <s v="MF,DF"/>
    <x v="2"/>
    <n v="25"/>
    <n v="1995"/>
    <n v="14"/>
    <n v="8"/>
    <n v="695"/>
    <x v="0"/>
    <n v="1"/>
    <n v="0"/>
    <n v="0"/>
    <n v="0"/>
    <n v="3"/>
    <n v="0"/>
    <m/>
    <s v="2020-2021"/>
    <n v="32"/>
  </r>
  <r>
    <x v="298"/>
    <s v="sct"/>
    <s v="SCO"/>
    <s v="MF"/>
    <x v="12"/>
    <n v="24"/>
    <n v="1995"/>
    <n v="2"/>
    <n v="0"/>
    <n v="38"/>
    <x v="0"/>
    <n v="0"/>
    <n v="0"/>
    <n v="0"/>
    <n v="0"/>
    <n v="2"/>
    <n v="1"/>
    <m/>
    <s v="2020-2021"/>
    <n v="14"/>
  </r>
  <r>
    <x v="1"/>
    <s v="eng"/>
    <s v="ENG"/>
    <s v="DF"/>
    <x v="3"/>
    <n v="27"/>
    <n v="1993"/>
    <n v="5"/>
    <n v="5"/>
    <n v="405"/>
    <x v="0"/>
    <n v="0"/>
    <n v="0"/>
    <n v="0"/>
    <n v="0"/>
    <n v="0"/>
    <n v="0"/>
    <m/>
    <s v="2020-2021"/>
    <n v="47"/>
  </r>
  <r>
    <x v="1"/>
    <s v="eng"/>
    <s v="ENG"/>
    <s v="DF"/>
    <x v="8"/>
    <n v="27"/>
    <n v="1993"/>
    <n v="10"/>
    <n v="10"/>
    <n v="900"/>
    <x v="0"/>
    <n v="0"/>
    <n v="0"/>
    <n v="0"/>
    <n v="0"/>
    <n v="2"/>
    <n v="0"/>
    <m/>
    <s v="2020-2021"/>
    <n v="20"/>
  </r>
  <r>
    <x v="381"/>
    <s v="us"/>
    <s v="USA"/>
    <s v="DF"/>
    <x v="5"/>
    <n v="27"/>
    <n v="1993"/>
    <n v="8"/>
    <n v="7"/>
    <n v="645"/>
    <x v="0"/>
    <n v="0"/>
    <n v="0"/>
    <n v="0"/>
    <n v="0"/>
    <n v="0"/>
    <n v="0"/>
    <m/>
    <s v="2020-2021"/>
    <n v="55"/>
  </r>
  <r>
    <x v="382"/>
    <s v="sct"/>
    <s v="SCO"/>
    <s v="FW,MF"/>
    <x v="13"/>
    <n v="22"/>
    <n v="1997"/>
    <n v="20"/>
    <n v="8"/>
    <n v="869"/>
    <x v="2"/>
    <n v="2"/>
    <n v="2"/>
    <n v="0"/>
    <n v="0"/>
    <n v="0"/>
    <n v="0"/>
    <m/>
    <s v="2020-2021"/>
    <n v="12"/>
  </r>
  <r>
    <x v="3"/>
    <s v="ca"/>
    <s v="CAN"/>
    <s v="FW,MF"/>
    <x v="0"/>
    <n v="27"/>
    <n v="1992"/>
    <n v="13"/>
    <n v="11"/>
    <n v="1003"/>
    <x v="1"/>
    <n v="1"/>
    <n v="1"/>
    <n v="0"/>
    <n v="0"/>
    <n v="2"/>
    <n v="0"/>
    <m/>
    <s v="2020-2021"/>
    <n v="15"/>
  </r>
  <r>
    <x v="4"/>
    <m/>
    <m/>
    <s v="FW"/>
    <x v="4"/>
    <n v="17"/>
    <n v="2003"/>
    <n v="2"/>
    <n v="0"/>
    <n v="25"/>
    <x v="0"/>
    <n v="0"/>
    <n v="0"/>
    <n v="0"/>
    <n v="0"/>
    <n v="0"/>
    <n v="0"/>
    <m/>
    <s v="2020-2021"/>
    <n v="57"/>
  </r>
  <r>
    <x v="5"/>
    <s v="eng"/>
    <s v="ENG"/>
    <s v="FW,MF"/>
    <x v="10"/>
    <n v="28"/>
    <n v="1991"/>
    <n v="22"/>
    <n v="22"/>
    <n v="1966"/>
    <x v="8"/>
    <n v="0"/>
    <n v="4"/>
    <n v="0"/>
    <n v="0"/>
    <n v="0"/>
    <n v="0"/>
    <m/>
    <s v="2020-2021"/>
    <n v="27"/>
  </r>
  <r>
    <x v="383"/>
    <s v="eng"/>
    <s v="ENG"/>
    <s v="MF,DF"/>
    <x v="13"/>
    <n v="20"/>
    <n v="2000"/>
    <n v="15"/>
    <n v="11"/>
    <n v="868"/>
    <x v="0"/>
    <n v="0"/>
    <n v="0"/>
    <n v="0"/>
    <n v="0"/>
    <n v="1"/>
    <n v="0"/>
    <m/>
    <s v="2020-2021"/>
    <n v="12"/>
  </r>
  <r>
    <x v="8"/>
    <s v="au"/>
    <s v="AUS"/>
    <s v="MF"/>
    <x v="8"/>
    <n v="25"/>
    <n v="1995"/>
    <n v="19"/>
    <n v="18"/>
    <n v="1570"/>
    <x v="1"/>
    <n v="0"/>
    <n v="1"/>
    <n v="0"/>
    <n v="0"/>
    <n v="3"/>
    <n v="0"/>
    <m/>
    <s v="2020-2021"/>
    <n v="20"/>
  </r>
  <r>
    <x v="9"/>
    <s v="eng"/>
    <s v="ENG"/>
    <s v="FW"/>
    <x v="3"/>
    <n v="21"/>
    <n v="1999"/>
    <n v="4"/>
    <n v="3"/>
    <n v="280"/>
    <x v="5"/>
    <n v="2"/>
    <n v="3"/>
    <n v="0"/>
    <n v="0"/>
    <n v="0"/>
    <n v="0"/>
    <m/>
    <s v="2020-2021"/>
    <n v="47"/>
  </r>
  <r>
    <x v="10"/>
    <s v="eng"/>
    <s v="ENG"/>
    <s v="DF"/>
    <x v="5"/>
    <n v="26"/>
    <n v="1993"/>
    <n v="18"/>
    <n v="17"/>
    <n v="1556"/>
    <x v="0"/>
    <n v="2"/>
    <n v="0"/>
    <n v="0"/>
    <n v="0"/>
    <n v="3"/>
    <n v="0"/>
    <m/>
    <s v="2020-2021"/>
    <n v="55"/>
  </r>
  <r>
    <x v="384"/>
    <s v="us"/>
    <s v="USA"/>
    <s v="FW"/>
    <x v="8"/>
    <n v="31"/>
    <n v="1989"/>
    <n v="4"/>
    <n v="3"/>
    <n v="240"/>
    <x v="2"/>
    <n v="0"/>
    <n v="0"/>
    <n v="2"/>
    <n v="2"/>
    <n v="0"/>
    <n v="0"/>
    <m/>
    <s v="2020-2021"/>
    <n v="20"/>
  </r>
  <r>
    <x v="385"/>
    <m/>
    <m/>
    <s v="FW"/>
    <x v="5"/>
    <m/>
    <m/>
    <n v="1"/>
    <n v="0"/>
    <n v="9"/>
    <x v="0"/>
    <n v="0"/>
    <n v="0"/>
    <n v="0"/>
    <n v="0"/>
    <n v="0"/>
    <n v="0"/>
    <m/>
    <s v="2020-2021"/>
    <n v="55"/>
  </r>
  <r>
    <x v="12"/>
    <s v="ch"/>
    <s v="SUI"/>
    <s v="FW"/>
    <x v="0"/>
    <n v="21"/>
    <n v="1999"/>
    <n v="9"/>
    <n v="5"/>
    <n v="398"/>
    <x v="0"/>
    <n v="0"/>
    <n v="0"/>
    <n v="0"/>
    <n v="0"/>
    <n v="0"/>
    <n v="0"/>
    <m/>
    <s v="2020-2021"/>
    <n v="15"/>
  </r>
  <r>
    <x v="12"/>
    <s v="ch"/>
    <s v="SUI"/>
    <s v="FW"/>
    <x v="2"/>
    <n v="21"/>
    <n v="1999"/>
    <n v="8"/>
    <n v="3"/>
    <n v="349"/>
    <x v="1"/>
    <n v="1"/>
    <n v="1"/>
    <n v="0"/>
    <n v="0"/>
    <n v="0"/>
    <n v="0"/>
    <m/>
    <s v="2020-2021"/>
    <n v="32"/>
  </r>
  <r>
    <x v="14"/>
    <s v="no"/>
    <s v="NOR"/>
    <s v="MF,FW"/>
    <x v="7"/>
    <n v="24"/>
    <n v="1995"/>
    <n v="22"/>
    <n v="19"/>
    <n v="1576"/>
    <x v="2"/>
    <n v="0"/>
    <n v="2"/>
    <n v="0"/>
    <n v="0"/>
    <n v="1"/>
    <n v="0"/>
    <m/>
    <s v="2020-2021"/>
    <n v="24"/>
  </r>
  <r>
    <x v="17"/>
    <s v="eng"/>
    <s v="ENG"/>
    <s v="DF"/>
    <x v="3"/>
    <n v="29"/>
    <n v="1991"/>
    <n v="21"/>
    <n v="19"/>
    <n v="1744"/>
    <x v="0"/>
    <n v="0"/>
    <n v="0"/>
    <n v="0"/>
    <n v="0"/>
    <n v="4"/>
    <n v="0"/>
    <m/>
    <s v="2020-2021"/>
    <n v="47"/>
  </r>
  <r>
    <x v="386"/>
    <s v="eng"/>
    <s v="ENG"/>
    <s v="MF"/>
    <x v="6"/>
    <n v="23"/>
    <n v="1997"/>
    <n v="6"/>
    <n v="2"/>
    <n v="215"/>
    <x v="0"/>
    <n v="0"/>
    <n v="0"/>
    <n v="0"/>
    <n v="0"/>
    <n v="0"/>
    <n v="0"/>
    <m/>
    <s v="2020-2021"/>
    <n v="15"/>
  </r>
  <r>
    <x v="301"/>
    <s v="eng"/>
    <s v="ENG"/>
    <s v="FW"/>
    <x v="8"/>
    <n v="20"/>
    <n v="1999"/>
    <n v="21"/>
    <n v="15"/>
    <n v="1270"/>
    <x v="2"/>
    <n v="0"/>
    <n v="2"/>
    <n v="0"/>
    <n v="0"/>
    <n v="0"/>
    <n v="0"/>
    <m/>
    <s v="2020-2021"/>
    <n v="20"/>
  </r>
  <r>
    <x v="18"/>
    <s v="wls"/>
    <s v="WAL"/>
    <s v="MF"/>
    <x v="7"/>
    <n v="26"/>
    <n v="1994"/>
    <n v="22"/>
    <n v="22"/>
    <n v="1980"/>
    <x v="1"/>
    <n v="1"/>
    <n v="1"/>
    <n v="0"/>
    <n v="0"/>
    <n v="0"/>
    <n v="0"/>
    <m/>
    <s v="2020-2021"/>
    <n v="24"/>
  </r>
  <r>
    <x v="302"/>
    <s v="eng"/>
    <s v="ENG"/>
    <s v="DF,MF"/>
    <x v="6"/>
    <n v="35"/>
    <n v="1985"/>
    <n v="19"/>
    <n v="19"/>
    <n v="1659"/>
    <x v="1"/>
    <n v="0"/>
    <n v="1"/>
    <n v="0"/>
    <n v="0"/>
    <n v="1"/>
    <n v="0"/>
    <m/>
    <s v="2020-2021"/>
    <n v="15"/>
  </r>
  <r>
    <x v="387"/>
    <s v="wls"/>
    <s v="WAL"/>
    <s v="DF,MF"/>
    <x v="8"/>
    <n v="20"/>
    <n v="1999"/>
    <n v="5"/>
    <n v="3"/>
    <n v="238"/>
    <x v="1"/>
    <n v="0"/>
    <n v="1"/>
    <n v="0"/>
    <n v="0"/>
    <n v="0"/>
    <n v="0"/>
    <m/>
    <s v="2020-2021"/>
    <n v="20"/>
  </r>
  <r>
    <x v="21"/>
    <s v="eng"/>
    <s v="ENG"/>
    <s v="DF"/>
    <x v="9"/>
    <n v="21"/>
    <n v="1999"/>
    <n v="7"/>
    <n v="2"/>
    <n v="203"/>
    <x v="0"/>
    <n v="0"/>
    <n v="0"/>
    <n v="0"/>
    <n v="0"/>
    <n v="0"/>
    <n v="0"/>
    <m/>
    <s v="2020-2021"/>
    <n v="48"/>
  </r>
  <r>
    <x v="22"/>
    <s v="de"/>
    <s v="GER"/>
    <s v="GK"/>
    <x v="4"/>
    <n v="29"/>
    <n v="1990"/>
    <n v="17"/>
    <n v="17"/>
    <n v="1530"/>
    <x v="0"/>
    <n v="1"/>
    <n v="0"/>
    <n v="0"/>
    <n v="0"/>
    <n v="0"/>
    <n v="0"/>
    <m/>
    <s v="2020-2021"/>
    <n v="57"/>
  </r>
  <r>
    <x v="23"/>
    <s v="eng"/>
    <s v="ENG"/>
    <s v="FW"/>
    <x v="9"/>
    <n v="17"/>
    <n v="2003"/>
    <n v="1"/>
    <n v="0"/>
    <n v="1"/>
    <x v="0"/>
    <n v="0"/>
    <n v="0"/>
    <n v="0"/>
    <n v="0"/>
    <n v="0"/>
    <n v="0"/>
    <m/>
    <s v="2020-2021"/>
    <n v="48"/>
  </r>
  <r>
    <x v="23"/>
    <s v="eng"/>
    <s v="ENG"/>
    <s v="FW,DF"/>
    <x v="0"/>
    <n v="17"/>
    <n v="2003"/>
    <n v="3"/>
    <n v="1"/>
    <n v="101"/>
    <x v="0"/>
    <n v="0"/>
    <n v="0"/>
    <n v="0"/>
    <n v="0"/>
    <n v="0"/>
    <n v="0"/>
    <m/>
    <s v="2020-2021"/>
    <n v="15"/>
  </r>
  <r>
    <x v="24"/>
    <s v="ie"/>
    <s v="IRL"/>
    <s v="DF,FW"/>
    <x v="5"/>
    <n v="24"/>
    <n v="1995"/>
    <n v="3"/>
    <n v="1"/>
    <n v="123"/>
    <x v="0"/>
    <n v="0"/>
    <n v="0"/>
    <n v="0"/>
    <n v="0"/>
    <n v="0"/>
    <n v="0"/>
    <m/>
    <s v="2020-2021"/>
    <n v="55"/>
  </r>
  <r>
    <x v="25"/>
    <s v="eng"/>
    <s v="ENG"/>
    <s v="DF"/>
    <x v="8"/>
    <n v="27"/>
    <n v="1993"/>
    <n v="12"/>
    <n v="12"/>
    <n v="1012"/>
    <x v="2"/>
    <n v="0"/>
    <n v="2"/>
    <n v="0"/>
    <n v="0"/>
    <n v="4"/>
    <n v="0"/>
    <m/>
    <s v="2020-2021"/>
    <n v="20"/>
  </r>
  <r>
    <x v="27"/>
    <s v="eng"/>
    <s v="ENG"/>
    <s v="DF"/>
    <x v="6"/>
    <n v="18"/>
    <n v="2001"/>
    <n v="18"/>
    <n v="16"/>
    <n v="1457"/>
    <x v="0"/>
    <n v="1"/>
    <n v="0"/>
    <n v="0"/>
    <n v="0"/>
    <n v="2"/>
    <n v="0"/>
    <m/>
    <s v="2020-2021"/>
    <n v="15"/>
  </r>
  <r>
    <x v="388"/>
    <s v="no"/>
    <s v="NOR"/>
    <s v="GK"/>
    <x v="8"/>
    <n v="24"/>
    <n v="1996"/>
    <n v="5"/>
    <n v="5"/>
    <n v="450"/>
    <x v="0"/>
    <n v="0"/>
    <n v="0"/>
    <n v="0"/>
    <n v="0"/>
    <n v="1"/>
    <n v="0"/>
    <m/>
    <s v="2020-2021"/>
    <n v="20"/>
  </r>
  <r>
    <x v="389"/>
    <s v="no"/>
    <s v="NOR"/>
    <s v="GK"/>
    <x v="13"/>
    <n v="22"/>
    <n v="1998"/>
    <n v="1"/>
    <n v="1"/>
    <n v="90"/>
    <x v="0"/>
    <n v="0"/>
    <n v="0"/>
    <n v="0"/>
    <n v="0"/>
    <n v="0"/>
    <n v="0"/>
    <m/>
    <s v="2020-2021"/>
    <n v="12"/>
  </r>
  <r>
    <x v="30"/>
    <s v="eng"/>
    <s v="ENG"/>
    <s v="FW"/>
    <x v="9"/>
    <n v="25"/>
    <n v="1995"/>
    <n v="21"/>
    <n v="19"/>
    <n v="1652"/>
    <x v="8"/>
    <n v="8"/>
    <n v="4"/>
    <n v="0"/>
    <n v="0"/>
    <n v="2"/>
    <n v="1"/>
    <m/>
    <s v="2020-2021"/>
    <n v="48"/>
  </r>
  <r>
    <x v="305"/>
    <s v="wls"/>
    <s v="WAL"/>
    <s v="DF"/>
    <x v="7"/>
    <n v="17"/>
    <n v="2003"/>
    <n v="6"/>
    <n v="4"/>
    <n v="320"/>
    <x v="0"/>
    <n v="0"/>
    <n v="0"/>
    <n v="0"/>
    <n v="0"/>
    <n v="0"/>
    <n v="0"/>
    <m/>
    <s v="2020-2021"/>
    <n v="24"/>
  </r>
  <r>
    <x v="390"/>
    <s v="eng"/>
    <s v="ENG"/>
    <s v="DF"/>
    <x v="10"/>
    <n v="20"/>
    <n v="1999"/>
    <n v="3"/>
    <n v="2"/>
    <n v="218"/>
    <x v="0"/>
    <n v="0"/>
    <n v="0"/>
    <n v="0"/>
    <n v="0"/>
    <n v="0"/>
    <n v="0"/>
    <m/>
    <s v="2020-2021"/>
    <n v="27"/>
  </r>
  <r>
    <x v="31"/>
    <s v="eng"/>
    <s v="ENG"/>
    <s v="FW"/>
    <x v="4"/>
    <n v="26"/>
    <n v="1994"/>
    <n v="19"/>
    <n v="10"/>
    <n v="993"/>
    <x v="7"/>
    <n v="9"/>
    <n v="6"/>
    <n v="0"/>
    <n v="0"/>
    <n v="0"/>
    <n v="0"/>
    <m/>
    <s v="2020-2021"/>
    <n v="57"/>
  </r>
  <r>
    <x v="307"/>
    <s v="eng"/>
    <s v="ENG"/>
    <s v="MF,FW"/>
    <x v="7"/>
    <n v="31"/>
    <n v="1989"/>
    <n v="8"/>
    <n v="4"/>
    <n v="473"/>
    <x v="1"/>
    <n v="1"/>
    <n v="1"/>
    <n v="0"/>
    <n v="0"/>
    <n v="0"/>
    <n v="0"/>
    <m/>
    <s v="2020-2021"/>
    <n v="24"/>
  </r>
  <r>
    <x v="34"/>
    <s v="au"/>
    <s v="AUS"/>
    <s v="FW"/>
    <x v="9"/>
    <n v="25"/>
    <n v="1994"/>
    <n v="21"/>
    <n v="15"/>
    <n v="1317"/>
    <x v="3"/>
    <n v="5"/>
    <n v="10"/>
    <n v="0"/>
    <n v="0"/>
    <n v="2"/>
    <n v="0"/>
    <m/>
    <s v="2020-2021"/>
    <n v="48"/>
  </r>
  <r>
    <x v="35"/>
    <s v="eng"/>
    <s v="ENG"/>
    <s v="MF"/>
    <x v="13"/>
    <n v="23"/>
    <n v="1996"/>
    <n v="21"/>
    <n v="20"/>
    <n v="1636"/>
    <x v="0"/>
    <n v="0"/>
    <n v="0"/>
    <n v="0"/>
    <n v="0"/>
    <n v="0"/>
    <n v="0"/>
    <m/>
    <s v="2020-2021"/>
    <n v="12"/>
  </r>
  <r>
    <x v="391"/>
    <s v="eng"/>
    <s v="ENG"/>
    <s v="GK"/>
    <x v="4"/>
    <n v="33"/>
    <n v="1987"/>
    <n v="3"/>
    <n v="3"/>
    <n v="270"/>
    <x v="0"/>
    <n v="0"/>
    <n v="0"/>
    <n v="0"/>
    <n v="0"/>
    <n v="0"/>
    <n v="0"/>
    <m/>
    <s v="2020-2021"/>
    <n v="57"/>
  </r>
  <r>
    <x v="392"/>
    <s v="de"/>
    <s v="GER"/>
    <s v="DF"/>
    <x v="6"/>
    <n v="21"/>
    <n v="1999"/>
    <n v="13"/>
    <n v="10"/>
    <n v="948"/>
    <x v="0"/>
    <n v="0"/>
    <n v="0"/>
    <n v="0"/>
    <n v="0"/>
    <n v="1"/>
    <n v="0"/>
    <m/>
    <s v="2020-2021"/>
    <n v="15"/>
  </r>
  <r>
    <x v="308"/>
    <s v="sct"/>
    <s v="SCO"/>
    <s v="MF"/>
    <x v="5"/>
    <n v="25"/>
    <n v="1995"/>
    <n v="20"/>
    <n v="17"/>
    <n v="1440"/>
    <x v="12"/>
    <n v="3"/>
    <n v="8"/>
    <n v="0"/>
    <n v="1"/>
    <n v="0"/>
    <n v="0"/>
    <m/>
    <s v="2020-2021"/>
    <n v="55"/>
  </r>
  <r>
    <x v="36"/>
    <s v="wls"/>
    <s v="WAL"/>
    <s v="DF,FW"/>
    <x v="3"/>
    <n v="16"/>
    <n v="2003"/>
    <n v="2"/>
    <n v="0"/>
    <n v="10"/>
    <x v="0"/>
    <n v="0"/>
    <n v="0"/>
    <n v="0"/>
    <n v="0"/>
    <n v="0"/>
    <n v="0"/>
    <m/>
    <s v="2020-2021"/>
    <n v="47"/>
  </r>
  <r>
    <x v="393"/>
    <s v="no"/>
    <s v="NOR"/>
    <s v="GK"/>
    <x v="10"/>
    <n v="24"/>
    <n v="1996"/>
    <n v="7"/>
    <n v="7"/>
    <n v="630"/>
    <x v="0"/>
    <n v="0"/>
    <n v="0"/>
    <n v="0"/>
    <n v="0"/>
    <n v="0"/>
    <n v="0"/>
    <m/>
    <s v="2020-2021"/>
    <n v="27"/>
  </r>
  <r>
    <x v="394"/>
    <s v="no"/>
    <s v="NOR"/>
    <s v="DF"/>
    <x v="0"/>
    <n v="24"/>
    <n v="1995"/>
    <n v="19"/>
    <n v="17"/>
    <n v="1492"/>
    <x v="0"/>
    <n v="2"/>
    <n v="0"/>
    <n v="0"/>
    <n v="0"/>
    <n v="0"/>
    <n v="0"/>
    <m/>
    <s v="2020-2021"/>
    <n v="15"/>
  </r>
  <r>
    <x v="39"/>
    <s v="eng"/>
    <s v="ENG"/>
    <s v="FW,MF"/>
    <x v="2"/>
    <n v="24"/>
    <n v="1995"/>
    <n v="10"/>
    <n v="0"/>
    <n v="171"/>
    <x v="1"/>
    <n v="0"/>
    <n v="1"/>
    <n v="0"/>
    <n v="0"/>
    <n v="0"/>
    <n v="0"/>
    <m/>
    <s v="2020-2021"/>
    <n v="32"/>
  </r>
  <r>
    <x v="40"/>
    <s v="eng"/>
    <s v="ENG"/>
    <s v="MF,FW"/>
    <x v="13"/>
    <n v="22"/>
    <n v="1998"/>
    <n v="20"/>
    <n v="17"/>
    <n v="1459"/>
    <x v="2"/>
    <n v="1"/>
    <n v="2"/>
    <n v="0"/>
    <n v="0"/>
    <n v="2"/>
    <n v="0"/>
    <m/>
    <s v="2020-2021"/>
    <n v="12"/>
  </r>
  <r>
    <x v="311"/>
    <s v="sct"/>
    <s v="SCO"/>
    <s v="MF"/>
    <x v="6"/>
    <n v="25"/>
    <n v="1995"/>
    <n v="17"/>
    <n v="15"/>
    <n v="1326"/>
    <x v="1"/>
    <n v="0"/>
    <n v="1"/>
    <n v="0"/>
    <n v="0"/>
    <n v="3"/>
    <n v="0"/>
    <m/>
    <s v="2020-2021"/>
    <n v="15"/>
  </r>
  <r>
    <x v="44"/>
    <s v="eng"/>
    <s v="ENG"/>
    <s v="FW"/>
    <x v="5"/>
    <n v="22"/>
    <n v="1998"/>
    <n v="21"/>
    <n v="20"/>
    <n v="1702"/>
    <x v="3"/>
    <n v="11"/>
    <n v="8"/>
    <n v="2"/>
    <n v="2"/>
    <n v="1"/>
    <n v="0"/>
    <m/>
    <s v="2020-2021"/>
    <n v="55"/>
  </r>
  <r>
    <x v="395"/>
    <s v="au"/>
    <s v="AUS"/>
    <s v="MF,FW"/>
    <x v="13"/>
    <n v="25"/>
    <n v="1994"/>
    <n v="8"/>
    <n v="7"/>
    <n v="585"/>
    <x v="1"/>
    <n v="0"/>
    <n v="0"/>
    <n v="1"/>
    <n v="1"/>
    <n v="0"/>
    <n v="0"/>
    <m/>
    <s v="2020-2021"/>
    <n v="12"/>
  </r>
  <r>
    <x v="396"/>
    <s v="nir"/>
    <s v="NIR"/>
    <s v="MF"/>
    <x v="12"/>
    <n v="22"/>
    <n v="1997"/>
    <n v="10"/>
    <n v="4"/>
    <n v="296"/>
    <x v="0"/>
    <n v="0"/>
    <n v="0"/>
    <n v="0"/>
    <n v="0"/>
    <n v="1"/>
    <n v="0"/>
    <m/>
    <s v="2020-2021"/>
    <n v="14"/>
  </r>
  <r>
    <x v="312"/>
    <s v="eng"/>
    <s v="ENG"/>
    <s v="MF"/>
    <x v="8"/>
    <n v="21"/>
    <n v="1998"/>
    <n v="4"/>
    <n v="2"/>
    <n v="156"/>
    <x v="0"/>
    <n v="0"/>
    <n v="0"/>
    <n v="0"/>
    <n v="0"/>
    <n v="0"/>
    <n v="0"/>
    <m/>
    <s v="2020-2021"/>
    <n v="20"/>
  </r>
  <r>
    <x v="45"/>
    <s v="kr"/>
    <s v="KOR"/>
    <s v="MF,DF"/>
    <x v="0"/>
    <n v="32"/>
    <n v="1988"/>
    <n v="9"/>
    <n v="8"/>
    <n v="699"/>
    <x v="0"/>
    <n v="0"/>
    <n v="0"/>
    <n v="0"/>
    <n v="0"/>
    <n v="0"/>
    <n v="0"/>
    <m/>
    <s v="2020-2021"/>
    <n v="15"/>
  </r>
  <r>
    <x v="45"/>
    <s v="kr"/>
    <s v="KOR"/>
    <s v="MF"/>
    <x v="8"/>
    <n v="32"/>
    <n v="1988"/>
    <n v="7"/>
    <n v="5"/>
    <n v="383"/>
    <x v="0"/>
    <n v="0"/>
    <n v="0"/>
    <n v="0"/>
    <n v="0"/>
    <n v="1"/>
    <n v="0"/>
    <m/>
    <s v="2020-2021"/>
    <n v="20"/>
  </r>
  <r>
    <x v="397"/>
    <s v="us"/>
    <s v="USA"/>
    <s v="FW"/>
    <x v="3"/>
    <n v="31"/>
    <n v="1988"/>
    <n v="14"/>
    <n v="12"/>
    <n v="954"/>
    <x v="8"/>
    <n v="1"/>
    <n v="4"/>
    <n v="0"/>
    <n v="0"/>
    <n v="2"/>
    <n v="0"/>
    <m/>
    <s v="2020-2021"/>
    <n v="47"/>
  </r>
  <r>
    <x v="313"/>
    <s v="sct"/>
    <s v="SCO"/>
    <s v="MF"/>
    <x v="12"/>
    <n v="30"/>
    <n v="1990"/>
    <n v="16"/>
    <n v="15"/>
    <n v="1395"/>
    <x v="2"/>
    <n v="0"/>
    <n v="1"/>
    <n v="1"/>
    <n v="1"/>
    <n v="1"/>
    <n v="0"/>
    <m/>
    <s v="2020-2021"/>
    <n v="14"/>
  </r>
  <r>
    <x v="314"/>
    <s v="sct"/>
    <s v="SCO"/>
    <s v="FW"/>
    <x v="2"/>
    <n v="26"/>
    <n v="1994"/>
    <n v="19"/>
    <n v="16"/>
    <n v="1289"/>
    <x v="5"/>
    <n v="5"/>
    <n v="3"/>
    <n v="0"/>
    <n v="0"/>
    <n v="2"/>
    <n v="0"/>
    <m/>
    <s v="2020-2021"/>
    <n v="32"/>
  </r>
  <r>
    <x v="48"/>
    <s v="eng"/>
    <s v="ENG"/>
    <s v="FW"/>
    <x v="12"/>
    <n v="24"/>
    <n v="1996"/>
    <n v="21"/>
    <n v="20"/>
    <n v="1825"/>
    <x v="4"/>
    <n v="0"/>
    <n v="5"/>
    <n v="0"/>
    <n v="1"/>
    <n v="0"/>
    <n v="0"/>
    <m/>
    <s v="2020-2021"/>
    <n v="14"/>
  </r>
  <r>
    <x v="49"/>
    <s v="eng"/>
    <s v="ENG"/>
    <s v="MF"/>
    <x v="12"/>
    <n v="21"/>
    <n v="1999"/>
    <n v="8"/>
    <n v="6"/>
    <n v="571"/>
    <x v="0"/>
    <n v="2"/>
    <n v="0"/>
    <n v="0"/>
    <n v="0"/>
    <n v="2"/>
    <n v="0"/>
    <m/>
    <s v="2020-2021"/>
    <n v="14"/>
  </r>
  <r>
    <x v="50"/>
    <s v="ie"/>
    <s v="IRL"/>
    <s v="GK"/>
    <x v="0"/>
    <n v="24"/>
    <n v="1995"/>
    <n v="6"/>
    <n v="6"/>
    <n v="540"/>
    <x v="0"/>
    <n v="0"/>
    <n v="0"/>
    <n v="0"/>
    <n v="0"/>
    <n v="0"/>
    <n v="0"/>
    <m/>
    <s v="2020-2021"/>
    <n v="15"/>
  </r>
  <r>
    <x v="52"/>
    <s v="is"/>
    <s v="ISL"/>
    <s v="MF"/>
    <x v="0"/>
    <n v="28"/>
    <n v="1991"/>
    <n v="9"/>
    <n v="9"/>
    <n v="802"/>
    <x v="0"/>
    <n v="0"/>
    <n v="0"/>
    <n v="0"/>
    <n v="0"/>
    <n v="0"/>
    <n v="0"/>
    <m/>
    <s v="2020-2021"/>
    <n v="15"/>
  </r>
  <r>
    <x v="398"/>
    <s v="nl"/>
    <s v="NED"/>
    <s v="MF,DF"/>
    <x v="2"/>
    <n v="20"/>
    <n v="1999"/>
    <n v="6"/>
    <n v="6"/>
    <n v="526"/>
    <x v="0"/>
    <n v="0"/>
    <n v="0"/>
    <n v="0"/>
    <n v="0"/>
    <n v="0"/>
    <n v="0"/>
    <m/>
    <s v="2020-2021"/>
    <n v="32"/>
  </r>
  <r>
    <x v="315"/>
    <s v="eng"/>
    <s v="ENG"/>
    <s v="MF,DF"/>
    <x v="10"/>
    <n v="31"/>
    <n v="1988"/>
    <n v="13"/>
    <n v="12"/>
    <n v="1039"/>
    <x v="0"/>
    <n v="0"/>
    <n v="0"/>
    <n v="0"/>
    <n v="0"/>
    <n v="3"/>
    <n v="0"/>
    <m/>
    <s v="2020-2021"/>
    <n v="27"/>
  </r>
  <r>
    <x v="53"/>
    <s v="eng"/>
    <s v="ENG"/>
    <s v="FW"/>
    <x v="7"/>
    <n v="27"/>
    <n v="1993"/>
    <n v="21"/>
    <n v="14"/>
    <n v="1302"/>
    <x v="5"/>
    <n v="0"/>
    <n v="3"/>
    <n v="0"/>
    <n v="0"/>
    <n v="1"/>
    <n v="0"/>
    <m/>
    <s v="2020-2021"/>
    <n v="24"/>
  </r>
  <r>
    <x v="54"/>
    <s v="eng"/>
    <s v="ENG"/>
    <s v="DF"/>
    <x v="2"/>
    <n v="29"/>
    <n v="1991"/>
    <n v="14"/>
    <n v="14"/>
    <n v="1129"/>
    <x v="1"/>
    <n v="0"/>
    <n v="1"/>
    <n v="0"/>
    <n v="0"/>
    <n v="0"/>
    <n v="0"/>
    <m/>
    <s v="2020-2021"/>
    <n v="32"/>
  </r>
  <r>
    <x v="399"/>
    <s v="nl"/>
    <s v="NED"/>
    <s v="MF,FW"/>
    <x v="9"/>
    <n v="28"/>
    <n v="1991"/>
    <n v="21"/>
    <n v="14"/>
    <n v="1259"/>
    <x v="2"/>
    <n v="2"/>
    <n v="2"/>
    <n v="0"/>
    <n v="0"/>
    <n v="1"/>
    <n v="0"/>
    <m/>
    <s v="2020-2021"/>
    <n v="48"/>
  </r>
  <r>
    <x v="316"/>
    <s v="nl"/>
    <s v="NED"/>
    <s v="DF"/>
    <x v="10"/>
    <n v="24"/>
    <n v="1996"/>
    <n v="19"/>
    <n v="16"/>
    <n v="1516"/>
    <x v="0"/>
    <n v="0"/>
    <n v="0"/>
    <n v="0"/>
    <n v="0"/>
    <n v="5"/>
    <n v="0"/>
    <m/>
    <s v="2020-2021"/>
    <n v="27"/>
  </r>
  <r>
    <x v="55"/>
    <s v="eng"/>
    <s v="ENG"/>
    <s v="DF"/>
    <x v="7"/>
    <n v="27"/>
    <n v="1993"/>
    <n v="21"/>
    <n v="20"/>
    <n v="1737"/>
    <x v="0"/>
    <n v="0"/>
    <n v="0"/>
    <n v="0"/>
    <n v="0"/>
    <n v="3"/>
    <n v="0"/>
    <m/>
    <s v="2020-2021"/>
    <n v="24"/>
  </r>
  <r>
    <x v="59"/>
    <s v="eng"/>
    <s v="ENG"/>
    <s v="DF"/>
    <x v="5"/>
    <n v="28"/>
    <n v="1991"/>
    <n v="10"/>
    <n v="8"/>
    <n v="731"/>
    <x v="0"/>
    <n v="0"/>
    <n v="0"/>
    <n v="0"/>
    <n v="0"/>
    <n v="0"/>
    <n v="0"/>
    <m/>
    <s v="2020-2021"/>
    <n v="55"/>
  </r>
  <r>
    <x v="400"/>
    <s v="ie"/>
    <s v="IRL"/>
    <s v="MF,FW"/>
    <x v="10"/>
    <n v="26"/>
    <n v="1994"/>
    <n v="9"/>
    <n v="8"/>
    <n v="761"/>
    <x v="0"/>
    <n v="0"/>
    <n v="0"/>
    <n v="0"/>
    <n v="0"/>
    <n v="0"/>
    <n v="0"/>
    <m/>
    <s v="2020-2021"/>
    <n v="27"/>
  </r>
  <r>
    <x v="401"/>
    <s v="eng"/>
    <s v="ENG"/>
    <s v="MF,FW"/>
    <x v="12"/>
    <m/>
    <m/>
    <n v="6"/>
    <n v="1"/>
    <n v="74"/>
    <x v="0"/>
    <n v="0"/>
    <n v="0"/>
    <n v="0"/>
    <n v="0"/>
    <n v="0"/>
    <n v="0"/>
    <m/>
    <s v="2020-2021"/>
    <n v="14"/>
  </r>
  <r>
    <x v="402"/>
    <s v="pt"/>
    <s v="POR"/>
    <s v="FW"/>
    <x v="6"/>
    <n v="25"/>
    <n v="1995"/>
    <n v="14"/>
    <n v="4"/>
    <n v="523"/>
    <x v="1"/>
    <n v="0"/>
    <n v="1"/>
    <n v="0"/>
    <n v="0"/>
    <n v="1"/>
    <n v="0"/>
    <m/>
    <s v="2020-2021"/>
    <n v="15"/>
  </r>
  <r>
    <x v="63"/>
    <s v="jm"/>
    <s v="JAM"/>
    <s v="MF"/>
    <x v="4"/>
    <n v="27"/>
    <n v="1992"/>
    <n v="8"/>
    <n v="2"/>
    <n v="249"/>
    <x v="0"/>
    <n v="0"/>
    <n v="0"/>
    <n v="0"/>
    <n v="0"/>
    <n v="1"/>
    <n v="0"/>
    <m/>
    <s v="2020-2021"/>
    <n v="57"/>
  </r>
  <r>
    <x v="403"/>
    <s v="eng"/>
    <s v="ENG"/>
    <s v="FW,MF"/>
    <x v="13"/>
    <n v="19"/>
    <n v="2001"/>
    <n v="20"/>
    <n v="15"/>
    <n v="1516"/>
    <x v="7"/>
    <n v="1"/>
    <n v="5"/>
    <n v="1"/>
    <n v="1"/>
    <n v="1"/>
    <n v="0"/>
    <m/>
    <s v="2020-2021"/>
    <n v="12"/>
  </r>
  <r>
    <x v="404"/>
    <s v="eng"/>
    <s v="ENG"/>
    <s v="MF"/>
    <x v="8"/>
    <n v="19"/>
    <n v="2001"/>
    <n v="2"/>
    <n v="0"/>
    <n v="28"/>
    <x v="0"/>
    <n v="0"/>
    <n v="0"/>
    <n v="0"/>
    <n v="0"/>
    <n v="0"/>
    <n v="0"/>
    <m/>
    <s v="2020-2021"/>
    <n v="20"/>
  </r>
  <r>
    <x v="318"/>
    <s v="eng"/>
    <s v="ENG"/>
    <s v="DF"/>
    <x v="6"/>
    <n v="23"/>
    <n v="1996"/>
    <n v="20"/>
    <n v="16"/>
    <n v="1571"/>
    <x v="0"/>
    <n v="1"/>
    <n v="0"/>
    <n v="0"/>
    <n v="0"/>
    <n v="5"/>
    <n v="0"/>
    <m/>
    <s v="2020-2021"/>
    <n v="15"/>
  </r>
  <r>
    <x v="405"/>
    <s v="eng"/>
    <s v="ENG"/>
    <s v="DF"/>
    <x v="6"/>
    <n v="23"/>
    <n v="1997"/>
    <n v="10"/>
    <n v="10"/>
    <n v="848"/>
    <x v="0"/>
    <n v="0"/>
    <n v="0"/>
    <n v="0"/>
    <n v="0"/>
    <n v="0"/>
    <n v="0"/>
    <m/>
    <s v="2020-2021"/>
    <n v="15"/>
  </r>
  <r>
    <x v="406"/>
    <s v="au"/>
    <s v="AUS"/>
    <s v="MF"/>
    <x v="13"/>
    <n v="28"/>
    <n v="1992"/>
    <n v="15"/>
    <n v="10"/>
    <n v="921"/>
    <x v="1"/>
    <n v="2"/>
    <n v="1"/>
    <n v="0"/>
    <n v="0"/>
    <n v="1"/>
    <n v="0"/>
    <m/>
    <s v="2020-2021"/>
    <n v="12"/>
  </r>
  <r>
    <x v="68"/>
    <s v="eng"/>
    <s v="ENG"/>
    <s v="MF,FW"/>
    <x v="3"/>
    <n v="20"/>
    <n v="1999"/>
    <n v="22"/>
    <n v="21"/>
    <n v="1776"/>
    <x v="10"/>
    <n v="5"/>
    <n v="7"/>
    <n v="2"/>
    <n v="2"/>
    <n v="1"/>
    <n v="0"/>
    <m/>
    <s v="2020-2021"/>
    <n v="47"/>
  </r>
  <r>
    <x v="407"/>
    <s v="eng"/>
    <s v="ENG"/>
    <s v="MF"/>
    <x v="13"/>
    <n v="17"/>
    <n v="2002"/>
    <n v="5"/>
    <n v="1"/>
    <n v="94"/>
    <x v="0"/>
    <n v="0"/>
    <n v="0"/>
    <n v="0"/>
    <n v="0"/>
    <n v="0"/>
    <n v="0"/>
    <m/>
    <s v="2020-2021"/>
    <n v="12"/>
  </r>
  <r>
    <x v="319"/>
    <s v="eng"/>
    <s v="ENG"/>
    <s v="FW"/>
    <x v="5"/>
    <n v="31"/>
    <n v="1989"/>
    <n v="22"/>
    <n v="19"/>
    <n v="1534"/>
    <x v="3"/>
    <n v="5"/>
    <n v="10"/>
    <n v="0"/>
    <n v="0"/>
    <n v="1"/>
    <n v="0"/>
    <m/>
    <s v="2020-2021"/>
    <n v="55"/>
  </r>
  <r>
    <x v="69"/>
    <s v="eng"/>
    <s v="ENG"/>
    <s v="FW,MF"/>
    <x v="10"/>
    <n v="21"/>
    <n v="1999"/>
    <n v="15"/>
    <n v="13"/>
    <n v="1221"/>
    <x v="0"/>
    <n v="1"/>
    <n v="0"/>
    <n v="0"/>
    <n v="0"/>
    <n v="1"/>
    <n v="0"/>
    <m/>
    <s v="2020-2021"/>
    <n v="27"/>
  </r>
  <r>
    <x v="70"/>
    <s v="eng"/>
    <s v="ENG"/>
    <s v="GK"/>
    <x v="5"/>
    <n v="20"/>
    <n v="1999"/>
    <n v="20"/>
    <n v="20"/>
    <n v="1800"/>
    <x v="0"/>
    <n v="0"/>
    <n v="0"/>
    <n v="0"/>
    <n v="0"/>
    <n v="0"/>
    <n v="0"/>
    <m/>
    <s v="2020-2021"/>
    <n v="55"/>
  </r>
  <r>
    <x v="408"/>
    <s v="eng"/>
    <s v="ENG"/>
    <s v="FW"/>
    <x v="12"/>
    <n v="17"/>
    <n v="2003"/>
    <n v="11"/>
    <n v="8"/>
    <n v="687"/>
    <x v="1"/>
    <n v="0"/>
    <n v="1"/>
    <n v="0"/>
    <n v="0"/>
    <n v="1"/>
    <n v="0"/>
    <m/>
    <s v="2020-2021"/>
    <n v="14"/>
  </r>
  <r>
    <x v="321"/>
    <s v="eng"/>
    <s v="ENG"/>
    <s v="MF,FW"/>
    <x v="10"/>
    <n v="30"/>
    <n v="1990"/>
    <n v="14"/>
    <n v="7"/>
    <n v="531"/>
    <x v="0"/>
    <n v="0"/>
    <n v="0"/>
    <n v="0"/>
    <n v="0"/>
    <n v="1"/>
    <n v="0"/>
    <m/>
    <s v="2020-2021"/>
    <n v="27"/>
  </r>
  <r>
    <x v="409"/>
    <s v="eng"/>
    <s v="ENG"/>
    <s v="MF"/>
    <x v="6"/>
    <n v="20"/>
    <n v="2000"/>
    <n v="15"/>
    <n v="1"/>
    <n v="273"/>
    <x v="0"/>
    <n v="0"/>
    <n v="0"/>
    <n v="0"/>
    <n v="0"/>
    <n v="0"/>
    <n v="0"/>
    <m/>
    <s v="2020-2021"/>
    <n v="15"/>
  </r>
  <r>
    <x v="410"/>
    <s v="au"/>
    <s v="AUS"/>
    <s v="MF,FW"/>
    <x v="0"/>
    <n v="27"/>
    <n v="1993"/>
    <n v="21"/>
    <n v="19"/>
    <n v="1792"/>
    <x v="8"/>
    <n v="2"/>
    <n v="4"/>
    <n v="0"/>
    <n v="0"/>
    <n v="1"/>
    <n v="0"/>
    <m/>
    <s v="2020-2021"/>
    <n v="15"/>
  </r>
  <r>
    <x v="411"/>
    <s v="eng"/>
    <s v="ENG"/>
    <s v="MF,FW"/>
    <x v="13"/>
    <n v="18"/>
    <n v="2001"/>
    <n v="18"/>
    <n v="8"/>
    <n v="794"/>
    <x v="1"/>
    <n v="0"/>
    <n v="1"/>
    <n v="0"/>
    <n v="0"/>
    <n v="0"/>
    <n v="0"/>
    <m/>
    <s v="2020-2021"/>
    <n v="12"/>
  </r>
  <r>
    <x v="412"/>
    <s v="eng"/>
    <s v="ENG"/>
    <s v="FW,MF"/>
    <x v="6"/>
    <n v="28"/>
    <n v="1992"/>
    <n v="15"/>
    <n v="9"/>
    <n v="732"/>
    <x v="0"/>
    <n v="3"/>
    <n v="0"/>
    <n v="0"/>
    <n v="0"/>
    <n v="0"/>
    <n v="0"/>
    <m/>
    <s v="2020-2021"/>
    <n v="15"/>
  </r>
  <r>
    <x v="73"/>
    <s v="eng"/>
    <s v="ENG"/>
    <s v="FW"/>
    <x v="7"/>
    <n v="18"/>
    <n v="2002"/>
    <n v="16"/>
    <n v="7"/>
    <n v="676"/>
    <x v="1"/>
    <n v="0"/>
    <n v="1"/>
    <n v="0"/>
    <n v="0"/>
    <n v="0"/>
    <n v="0"/>
    <m/>
    <s v="2020-2021"/>
    <n v="24"/>
  </r>
  <r>
    <x v="74"/>
    <s v="fi"/>
    <s v="FIN"/>
    <s v="DF,MF"/>
    <x v="10"/>
    <n v="25"/>
    <n v="1994"/>
    <n v="9"/>
    <n v="9"/>
    <n v="765"/>
    <x v="0"/>
    <n v="0"/>
    <n v="0"/>
    <n v="0"/>
    <n v="0"/>
    <n v="1"/>
    <n v="0"/>
    <m/>
    <s v="2020-2021"/>
    <n v="27"/>
  </r>
  <r>
    <x v="76"/>
    <s v="sct"/>
    <s v="SCO"/>
    <s v="DF"/>
    <x v="7"/>
    <n v="27"/>
    <n v="1992"/>
    <n v="14"/>
    <n v="14"/>
    <n v="1204"/>
    <x v="0"/>
    <n v="4"/>
    <n v="0"/>
    <n v="0"/>
    <n v="0"/>
    <n v="2"/>
    <n v="0"/>
    <m/>
    <s v="2020-2021"/>
    <n v="24"/>
  </r>
  <r>
    <x v="413"/>
    <s v="eng"/>
    <s v="ENG"/>
    <s v="MF,DF"/>
    <x v="12"/>
    <n v="23"/>
    <n v="1997"/>
    <n v="16"/>
    <n v="8"/>
    <n v="796"/>
    <x v="0"/>
    <n v="0"/>
    <n v="0"/>
    <n v="0"/>
    <n v="0"/>
    <n v="2"/>
    <n v="0"/>
    <m/>
    <s v="2020-2021"/>
    <n v="14"/>
  </r>
  <r>
    <x v="78"/>
    <s v="sct"/>
    <s v="SCO"/>
    <s v="MF,FW"/>
    <x v="4"/>
    <n v="22"/>
    <n v="1998"/>
    <n v="19"/>
    <n v="14"/>
    <n v="1223"/>
    <x v="2"/>
    <n v="7"/>
    <n v="2"/>
    <n v="0"/>
    <n v="0"/>
    <n v="0"/>
    <n v="0"/>
    <m/>
    <s v="2020-2021"/>
    <n v="57"/>
  </r>
  <r>
    <x v="80"/>
    <s v="eng"/>
    <s v="ENG"/>
    <s v="DF"/>
    <x v="5"/>
    <n v="19"/>
    <n v="2000"/>
    <n v="12"/>
    <n v="10"/>
    <n v="933"/>
    <x v="1"/>
    <n v="0"/>
    <n v="1"/>
    <n v="0"/>
    <n v="0"/>
    <n v="0"/>
    <n v="0"/>
    <m/>
    <s v="2020-2021"/>
    <n v="55"/>
  </r>
  <r>
    <x v="324"/>
    <s v="wls"/>
    <s v="WAL"/>
    <s v="DF"/>
    <x v="8"/>
    <n v="17"/>
    <n v="2002"/>
    <n v="8"/>
    <n v="7"/>
    <n v="645"/>
    <x v="0"/>
    <n v="0"/>
    <n v="0"/>
    <n v="0"/>
    <n v="0"/>
    <n v="0"/>
    <n v="0"/>
    <m/>
    <s v="2020-2021"/>
    <n v="20"/>
  </r>
  <r>
    <x v="414"/>
    <s v="eng"/>
    <s v="ENG"/>
    <s v="MF,FW"/>
    <x v="7"/>
    <n v="36"/>
    <n v="1984"/>
    <n v="17"/>
    <n v="14"/>
    <n v="1088"/>
    <x v="5"/>
    <n v="1"/>
    <n v="1"/>
    <n v="2"/>
    <n v="2"/>
    <n v="2"/>
    <n v="0"/>
    <m/>
    <s v="2020-2021"/>
    <n v="24"/>
  </r>
  <r>
    <x v="85"/>
    <s v="eng"/>
    <s v="ENG"/>
    <s v="DF"/>
    <x v="13"/>
    <n v="23"/>
    <n v="1997"/>
    <n v="15"/>
    <n v="7"/>
    <n v="717"/>
    <x v="1"/>
    <n v="0"/>
    <n v="1"/>
    <n v="0"/>
    <n v="0"/>
    <n v="4"/>
    <n v="0"/>
    <m/>
    <s v="2020-2021"/>
    <n v="12"/>
  </r>
  <r>
    <x v="325"/>
    <s v="eng"/>
    <s v="ENG"/>
    <s v="DF"/>
    <x v="10"/>
    <n v="26"/>
    <n v="1994"/>
    <n v="13"/>
    <n v="12"/>
    <n v="1086"/>
    <x v="0"/>
    <n v="2"/>
    <n v="0"/>
    <n v="0"/>
    <n v="0"/>
    <n v="0"/>
    <n v="0"/>
    <m/>
    <s v="2020-2021"/>
    <n v="27"/>
  </r>
  <r>
    <x v="415"/>
    <s v="eng"/>
    <s v="ENG"/>
    <s v="DF"/>
    <x v="13"/>
    <n v="20"/>
    <n v="1999"/>
    <n v="16"/>
    <n v="14"/>
    <n v="1086"/>
    <x v="0"/>
    <n v="0"/>
    <n v="0"/>
    <n v="0"/>
    <n v="0"/>
    <n v="0"/>
    <n v="0"/>
    <m/>
    <s v="2020-2021"/>
    <n v="12"/>
  </r>
  <r>
    <x v="88"/>
    <s v="eng"/>
    <s v="ENG"/>
    <s v="FW,MF"/>
    <x v="4"/>
    <n v="27"/>
    <n v="1993"/>
    <n v="18"/>
    <n v="16"/>
    <n v="1378"/>
    <x v="16"/>
    <n v="11"/>
    <n v="16"/>
    <n v="0"/>
    <n v="0"/>
    <n v="0"/>
    <n v="0"/>
    <m/>
    <s v="2020-2021"/>
    <n v="57"/>
  </r>
  <r>
    <x v="90"/>
    <s v="eng"/>
    <s v="ENG"/>
    <s v="MF,DF"/>
    <x v="6"/>
    <n v="17"/>
    <n v="2003"/>
    <n v="9"/>
    <n v="4"/>
    <n v="382"/>
    <x v="1"/>
    <n v="0"/>
    <n v="1"/>
    <n v="0"/>
    <n v="0"/>
    <n v="1"/>
    <n v="0"/>
    <m/>
    <s v="2020-2021"/>
    <n v="15"/>
  </r>
  <r>
    <x v="93"/>
    <s v="eng"/>
    <s v="ENG"/>
    <s v="DF"/>
    <x v="2"/>
    <n v="23"/>
    <n v="1997"/>
    <n v="7"/>
    <n v="4"/>
    <n v="403"/>
    <x v="0"/>
    <n v="0"/>
    <n v="0"/>
    <n v="0"/>
    <n v="0"/>
    <n v="0"/>
    <n v="0"/>
    <m/>
    <s v="2020-2021"/>
    <n v="32"/>
  </r>
  <r>
    <x v="94"/>
    <s v="eng"/>
    <s v="ENG"/>
    <s v="DF"/>
    <x v="5"/>
    <n v="29"/>
    <n v="1991"/>
    <n v="6"/>
    <n v="6"/>
    <n v="494"/>
    <x v="1"/>
    <n v="0"/>
    <n v="1"/>
    <n v="0"/>
    <n v="0"/>
    <n v="0"/>
    <n v="0"/>
    <m/>
    <s v="2020-2021"/>
    <n v="55"/>
  </r>
  <r>
    <x v="326"/>
    <s v="eng"/>
    <s v="ENG"/>
    <s v="FW,MF"/>
    <x v="8"/>
    <n v="33"/>
    <n v="1987"/>
    <n v="16"/>
    <n v="10"/>
    <n v="861"/>
    <x v="1"/>
    <n v="1"/>
    <n v="1"/>
    <n v="0"/>
    <n v="0"/>
    <n v="0"/>
    <n v="0"/>
    <m/>
    <s v="2020-2021"/>
    <n v="20"/>
  </r>
  <r>
    <x v="95"/>
    <s v="wls"/>
    <s v="WAL"/>
    <s v="DF"/>
    <x v="13"/>
    <n v="23"/>
    <n v="1996"/>
    <n v="20"/>
    <n v="20"/>
    <n v="1800"/>
    <x v="1"/>
    <n v="1"/>
    <n v="1"/>
    <n v="0"/>
    <n v="0"/>
    <n v="2"/>
    <n v="0"/>
    <m/>
    <s v="2020-2021"/>
    <n v="12"/>
  </r>
  <r>
    <x v="327"/>
    <s v="eng"/>
    <s v="ENG"/>
    <s v="DF"/>
    <x v="12"/>
    <n v="19"/>
    <n v="2001"/>
    <n v="5"/>
    <n v="2"/>
    <n v="201"/>
    <x v="0"/>
    <n v="0"/>
    <n v="0"/>
    <n v="0"/>
    <n v="0"/>
    <n v="0"/>
    <n v="0"/>
    <m/>
    <s v="2020-2021"/>
    <n v="14"/>
  </r>
  <r>
    <x v="96"/>
    <s v="eng"/>
    <s v="ENG"/>
    <s v="DF"/>
    <x v="12"/>
    <n v="24"/>
    <n v="1996"/>
    <n v="19"/>
    <n v="19"/>
    <n v="1710"/>
    <x v="0"/>
    <n v="0"/>
    <n v="0"/>
    <n v="0"/>
    <n v="0"/>
    <n v="0"/>
    <n v="0"/>
    <m/>
    <s v="2020-2021"/>
    <n v="14"/>
  </r>
  <r>
    <x v="328"/>
    <s v="eng"/>
    <s v="ENG"/>
    <s v="FW,MF"/>
    <x v="5"/>
    <n v="21"/>
    <n v="1999"/>
    <n v="21"/>
    <n v="16"/>
    <n v="1489"/>
    <x v="4"/>
    <n v="1"/>
    <n v="5"/>
    <n v="0"/>
    <n v="0"/>
    <n v="1"/>
    <n v="0"/>
    <m/>
    <s v="2020-2021"/>
    <n v="55"/>
  </r>
  <r>
    <x v="416"/>
    <s v="eng"/>
    <s v="ENG"/>
    <s v="MF"/>
    <x v="13"/>
    <n v="18"/>
    <n v="2002"/>
    <n v="2"/>
    <n v="0"/>
    <n v="22"/>
    <x v="0"/>
    <n v="0"/>
    <n v="0"/>
    <n v="0"/>
    <n v="0"/>
    <n v="0"/>
    <n v="0"/>
    <m/>
    <s v="2020-2021"/>
    <n v="12"/>
  </r>
  <r>
    <x v="99"/>
    <s v="eng"/>
    <s v="ENG"/>
    <s v="DF"/>
    <x v="0"/>
    <n v="28"/>
    <n v="1991"/>
    <n v="21"/>
    <n v="21"/>
    <n v="1833"/>
    <x v="0"/>
    <n v="0"/>
    <n v="0"/>
    <n v="0"/>
    <n v="0"/>
    <n v="5"/>
    <n v="1"/>
    <m/>
    <s v="2020-2021"/>
    <n v="15"/>
  </r>
  <r>
    <x v="329"/>
    <s v="eng"/>
    <s v="ENG"/>
    <s v="MF,FW"/>
    <x v="2"/>
    <n v="17"/>
    <n v="2003"/>
    <n v="6"/>
    <n v="2"/>
    <n v="194"/>
    <x v="0"/>
    <n v="0"/>
    <n v="0"/>
    <n v="0"/>
    <n v="0"/>
    <n v="0"/>
    <n v="0"/>
    <m/>
    <s v="2020-2021"/>
    <n v="32"/>
  </r>
  <r>
    <x v="101"/>
    <s v="eng"/>
    <s v="ENG"/>
    <s v="DF"/>
    <x v="0"/>
    <n v="22"/>
    <n v="1998"/>
    <n v="22"/>
    <n v="22"/>
    <n v="1980"/>
    <x v="0"/>
    <n v="0"/>
    <n v="0"/>
    <n v="0"/>
    <n v="0"/>
    <n v="1"/>
    <n v="0"/>
    <m/>
    <s v="2020-2021"/>
    <n v="15"/>
  </r>
  <r>
    <x v="102"/>
    <s v="ie"/>
    <s v="IRL"/>
    <s v="GK"/>
    <x v="7"/>
    <n v="27"/>
    <n v="1993"/>
    <n v="22"/>
    <n v="22"/>
    <n v="1980"/>
    <x v="0"/>
    <n v="0"/>
    <n v="0"/>
    <n v="0"/>
    <n v="0"/>
    <n v="1"/>
    <n v="0"/>
    <m/>
    <s v="2020-2021"/>
    <n v="24"/>
  </r>
  <r>
    <x v="105"/>
    <s v="no"/>
    <s v="NOR"/>
    <s v="FW,MF"/>
    <x v="4"/>
    <n v="26"/>
    <n v="1994"/>
    <n v="19"/>
    <n v="9"/>
    <n v="890"/>
    <x v="1"/>
    <n v="3"/>
    <n v="1"/>
    <n v="0"/>
    <n v="0"/>
    <n v="1"/>
    <n v="0"/>
    <m/>
    <s v="2020-2021"/>
    <n v="57"/>
  </r>
  <r>
    <x v="108"/>
    <s v="eng"/>
    <s v="ENG"/>
    <s v="DF"/>
    <x v="4"/>
    <n v="26"/>
    <n v="1994"/>
    <n v="8"/>
    <n v="4"/>
    <n v="464"/>
    <x v="0"/>
    <n v="0"/>
    <n v="0"/>
    <n v="0"/>
    <n v="0"/>
    <n v="0"/>
    <n v="0"/>
    <m/>
    <s v="2020-2021"/>
    <n v="57"/>
  </r>
  <r>
    <x v="417"/>
    <s v="sct"/>
    <s v="SCO"/>
    <s v="DF"/>
    <x v="8"/>
    <n v="23"/>
    <n v="1997"/>
    <n v="5"/>
    <n v="5"/>
    <n v="450"/>
    <x v="0"/>
    <n v="0"/>
    <n v="0"/>
    <n v="0"/>
    <n v="0"/>
    <n v="0"/>
    <n v="0"/>
    <m/>
    <s v="2020-2021"/>
    <n v="20"/>
  </r>
  <r>
    <x v="110"/>
    <s v="eng"/>
    <s v="ENG"/>
    <s v="GK"/>
    <x v="12"/>
    <n v="19"/>
    <n v="2000"/>
    <n v="21"/>
    <n v="21"/>
    <n v="1890"/>
    <x v="0"/>
    <n v="0"/>
    <n v="0"/>
    <n v="0"/>
    <n v="0"/>
    <n v="0"/>
    <n v="0"/>
    <m/>
    <s v="2020-2021"/>
    <n v="14"/>
  </r>
  <r>
    <x v="331"/>
    <s v="ie"/>
    <s v="IRL"/>
    <s v="DF"/>
    <x v="12"/>
    <n v="27"/>
    <n v="1993"/>
    <n v="20"/>
    <n v="20"/>
    <n v="1757"/>
    <x v="0"/>
    <n v="0"/>
    <n v="0"/>
    <n v="0"/>
    <n v="0"/>
    <n v="5"/>
    <n v="0"/>
    <m/>
    <s v="2020-2021"/>
    <n v="14"/>
  </r>
  <r>
    <x v="112"/>
    <s v="fr"/>
    <s v="FRA"/>
    <s v="DF"/>
    <x v="0"/>
    <n v="23"/>
    <n v="1997"/>
    <n v="12"/>
    <n v="6"/>
    <n v="579"/>
    <x v="0"/>
    <n v="0"/>
    <n v="0"/>
    <n v="0"/>
    <n v="0"/>
    <n v="2"/>
    <n v="0"/>
    <m/>
    <s v="2020-2021"/>
    <n v="15"/>
  </r>
  <r>
    <x v="113"/>
    <s v="wls"/>
    <s v="WAL"/>
    <s v="MF"/>
    <x v="3"/>
    <n v="26"/>
    <n v="1993"/>
    <n v="18"/>
    <n v="12"/>
    <n v="1110"/>
    <x v="1"/>
    <n v="5"/>
    <n v="1"/>
    <n v="0"/>
    <n v="0"/>
    <n v="4"/>
    <n v="0"/>
    <m/>
    <s v="2020-2021"/>
    <n v="47"/>
  </r>
  <r>
    <x v="114"/>
    <s v="au"/>
    <s v="AUS"/>
    <s v="FW,DF"/>
    <x v="2"/>
    <n v="25"/>
    <n v="1994"/>
    <n v="22"/>
    <n v="16"/>
    <n v="1434"/>
    <x v="4"/>
    <n v="2"/>
    <n v="5"/>
    <n v="0"/>
    <n v="0"/>
    <n v="2"/>
    <n v="0"/>
    <m/>
    <s v="2020-2021"/>
    <n v="32"/>
  </r>
  <r>
    <x v="332"/>
    <s v="nl"/>
    <s v="NED"/>
    <s v="MF,FW"/>
    <x v="10"/>
    <n v="24"/>
    <n v="1996"/>
    <n v="22"/>
    <n v="22"/>
    <n v="1896"/>
    <x v="12"/>
    <n v="1"/>
    <n v="4"/>
    <n v="4"/>
    <n v="4"/>
    <n v="0"/>
    <n v="0"/>
    <m/>
    <s v="2020-2021"/>
    <n v="27"/>
  </r>
  <r>
    <x v="418"/>
    <s v="no"/>
    <s v="NOR"/>
    <s v="DF"/>
    <x v="2"/>
    <n v="30"/>
    <n v="1990"/>
    <n v="21"/>
    <n v="20"/>
    <n v="1719"/>
    <x v="0"/>
    <n v="1"/>
    <n v="0"/>
    <n v="0"/>
    <n v="0"/>
    <n v="1"/>
    <n v="0"/>
    <m/>
    <s v="2020-2021"/>
    <n v="32"/>
  </r>
  <r>
    <x v="334"/>
    <s v="br"/>
    <s v="BRA"/>
    <s v="FW,MF"/>
    <x v="3"/>
    <n v="19"/>
    <n v="2001"/>
    <n v="5"/>
    <n v="0"/>
    <n v="100"/>
    <x v="0"/>
    <n v="0"/>
    <n v="0"/>
    <n v="0"/>
    <n v="0"/>
    <n v="0"/>
    <n v="0"/>
    <m/>
    <s v="2020-2021"/>
    <n v="47"/>
  </r>
  <r>
    <x v="118"/>
    <s v="eng"/>
    <s v="ENG"/>
    <s v="MF"/>
    <x v="2"/>
    <n v="28"/>
    <n v="1991"/>
    <n v="22"/>
    <n v="22"/>
    <n v="1917"/>
    <x v="7"/>
    <n v="6"/>
    <n v="4"/>
    <n v="2"/>
    <n v="2"/>
    <n v="2"/>
    <n v="0"/>
    <m/>
    <s v="2020-2021"/>
    <n v="32"/>
  </r>
  <r>
    <x v="335"/>
    <s v="nl"/>
    <s v="NED"/>
    <s v="MF"/>
    <x v="3"/>
    <n v="25"/>
    <n v="1994"/>
    <n v="22"/>
    <n v="18"/>
    <n v="1627"/>
    <x v="0"/>
    <n v="3"/>
    <n v="0"/>
    <n v="0"/>
    <n v="0"/>
    <n v="2"/>
    <n v="0"/>
    <m/>
    <s v="2020-2021"/>
    <n v="47"/>
  </r>
  <r>
    <x v="419"/>
    <s v="sct"/>
    <s v="SCO"/>
    <s v="MF"/>
    <x v="12"/>
    <n v="20"/>
    <n v="2000"/>
    <n v="19"/>
    <n v="17"/>
    <n v="1442"/>
    <x v="1"/>
    <n v="0"/>
    <n v="1"/>
    <n v="0"/>
    <n v="0"/>
    <n v="1"/>
    <n v="0"/>
    <m/>
    <s v="2020-2021"/>
    <n v="14"/>
  </r>
  <r>
    <x v="420"/>
    <s v="sct"/>
    <s v="SCO"/>
    <s v="FW,MF"/>
    <x v="3"/>
    <n v="30"/>
    <n v="1989"/>
    <n v="12"/>
    <n v="3"/>
    <n v="350"/>
    <x v="2"/>
    <n v="0"/>
    <n v="2"/>
    <n v="0"/>
    <n v="0"/>
    <n v="0"/>
    <n v="0"/>
    <m/>
    <s v="2020-2021"/>
    <n v="47"/>
  </r>
  <r>
    <x v="338"/>
    <s v="ca"/>
    <s v="CAN"/>
    <s v="FW,DF"/>
    <x v="5"/>
    <n v="25"/>
    <n v="1994"/>
    <n v="14"/>
    <n v="6"/>
    <n v="629"/>
    <x v="8"/>
    <n v="1"/>
    <n v="4"/>
    <n v="0"/>
    <n v="0"/>
    <n v="0"/>
    <n v="0"/>
    <m/>
    <s v="2020-2021"/>
    <n v="55"/>
  </r>
  <r>
    <x v="122"/>
    <s v="eng"/>
    <s v="ENG"/>
    <s v="DF,MF"/>
    <x v="13"/>
    <n v="27"/>
    <n v="1993"/>
    <n v="10"/>
    <n v="9"/>
    <n v="800"/>
    <x v="0"/>
    <n v="1"/>
    <n v="0"/>
    <n v="0"/>
    <n v="0"/>
    <n v="1"/>
    <n v="0"/>
    <m/>
    <s v="2020-2021"/>
    <n v="12"/>
  </r>
  <r>
    <x v="126"/>
    <s v="eng"/>
    <s v="ENG"/>
    <s v="DF"/>
    <x v="13"/>
    <n v="23"/>
    <n v="1997"/>
    <n v="21"/>
    <n v="21"/>
    <n v="1890"/>
    <x v="1"/>
    <n v="1"/>
    <n v="1"/>
    <n v="0"/>
    <n v="0"/>
    <n v="2"/>
    <n v="0"/>
    <m/>
    <s v="2020-2021"/>
    <n v="12"/>
  </r>
  <r>
    <x v="127"/>
    <s v="sct"/>
    <s v="SCO"/>
    <s v="DF"/>
    <x v="9"/>
    <n v="29"/>
    <n v="1991"/>
    <n v="8"/>
    <n v="7"/>
    <n v="589"/>
    <x v="2"/>
    <n v="0"/>
    <n v="2"/>
    <n v="0"/>
    <n v="0"/>
    <n v="1"/>
    <n v="0"/>
    <m/>
    <s v="2020-2021"/>
    <n v="48"/>
  </r>
  <r>
    <x v="339"/>
    <s v="kr"/>
    <s v="KOR"/>
    <s v="MF,FW"/>
    <x v="7"/>
    <n v="31"/>
    <n v="1988"/>
    <n v="4"/>
    <n v="1"/>
    <n v="87"/>
    <x v="0"/>
    <n v="0"/>
    <n v="0"/>
    <n v="0"/>
    <n v="0"/>
    <n v="0"/>
    <n v="0"/>
    <m/>
    <s v="2020-2021"/>
    <n v="24"/>
  </r>
  <r>
    <x v="128"/>
    <s v="eng"/>
    <s v="ENG"/>
    <s v="DF"/>
    <x v="4"/>
    <n v="22"/>
    <n v="1997"/>
    <n v="9"/>
    <n v="3"/>
    <n v="324"/>
    <x v="0"/>
    <n v="1"/>
    <n v="0"/>
    <n v="0"/>
    <n v="0"/>
    <n v="0"/>
    <n v="0"/>
    <m/>
    <s v="2020-2021"/>
    <n v="57"/>
  </r>
  <r>
    <x v="421"/>
    <s v="wls"/>
    <s v="WAL"/>
    <s v="MF"/>
    <x v="7"/>
    <n v="33"/>
    <n v="1987"/>
    <n v="19"/>
    <n v="18"/>
    <n v="1601"/>
    <x v="2"/>
    <n v="3"/>
    <n v="2"/>
    <n v="0"/>
    <n v="0"/>
    <n v="2"/>
    <n v="0"/>
    <m/>
    <s v="2020-2021"/>
    <n v="24"/>
  </r>
  <r>
    <x v="130"/>
    <s v="eng"/>
    <s v="ENG"/>
    <s v="FW"/>
    <x v="8"/>
    <n v="19"/>
    <n v="2000"/>
    <n v="10"/>
    <n v="4"/>
    <n v="418"/>
    <x v="0"/>
    <n v="0"/>
    <n v="0"/>
    <n v="0"/>
    <n v="0"/>
    <n v="0"/>
    <n v="0"/>
    <m/>
    <s v="2020-2021"/>
    <n v="20"/>
  </r>
  <r>
    <x v="131"/>
    <s v="eng"/>
    <s v="ENG"/>
    <s v="FW"/>
    <x v="5"/>
    <n v="18"/>
    <n v="2001"/>
    <n v="9"/>
    <n v="1"/>
    <n v="182"/>
    <x v="0"/>
    <n v="0"/>
    <n v="0"/>
    <n v="0"/>
    <n v="0"/>
    <n v="0"/>
    <n v="0"/>
    <m/>
    <s v="2020-2021"/>
    <n v="55"/>
  </r>
  <r>
    <x v="132"/>
    <s v="eng"/>
    <s v="ENG"/>
    <s v="FW,MF"/>
    <x v="3"/>
    <n v="25"/>
    <n v="1994"/>
    <n v="14"/>
    <n v="6"/>
    <n v="580"/>
    <x v="5"/>
    <n v="1"/>
    <n v="3"/>
    <n v="0"/>
    <n v="0"/>
    <n v="3"/>
    <n v="0"/>
    <m/>
    <s v="2020-2021"/>
    <n v="47"/>
  </r>
  <r>
    <x v="422"/>
    <s v="eng"/>
    <s v="ENG"/>
    <s v="FW"/>
    <x v="13"/>
    <n v="19"/>
    <n v="2001"/>
    <n v="1"/>
    <n v="0"/>
    <n v="1"/>
    <x v="0"/>
    <n v="0"/>
    <n v="0"/>
    <n v="0"/>
    <n v="0"/>
    <n v="0"/>
    <n v="0"/>
    <m/>
    <s v="2020-2021"/>
    <n v="12"/>
  </r>
  <r>
    <x v="134"/>
    <s v="ca"/>
    <s v="CAN"/>
    <s v="MF,FW"/>
    <x v="4"/>
    <n v="22"/>
    <n v="1998"/>
    <n v="14"/>
    <n v="3"/>
    <n v="443"/>
    <x v="0"/>
    <n v="0"/>
    <n v="0"/>
    <n v="0"/>
    <n v="0"/>
    <n v="0"/>
    <n v="0"/>
    <m/>
    <s v="2020-2021"/>
    <n v="57"/>
  </r>
  <r>
    <x v="340"/>
    <s v="kr"/>
    <s v="KOR"/>
    <s v="MF"/>
    <x v="4"/>
    <n v="29"/>
    <n v="1991"/>
    <n v="19"/>
    <n v="16"/>
    <n v="1307"/>
    <x v="2"/>
    <n v="1"/>
    <n v="2"/>
    <n v="0"/>
    <n v="0"/>
    <n v="2"/>
    <n v="0"/>
    <m/>
    <s v="2020-2021"/>
    <n v="57"/>
  </r>
  <r>
    <x v="423"/>
    <s v="nl"/>
    <s v="NED"/>
    <s v="MF,FW"/>
    <x v="9"/>
    <n v="23"/>
    <n v="1997"/>
    <n v="19"/>
    <n v="15"/>
    <n v="1312"/>
    <x v="9"/>
    <n v="3"/>
    <n v="7"/>
    <n v="0"/>
    <n v="0"/>
    <n v="1"/>
    <n v="0"/>
    <m/>
    <s v="2020-2021"/>
    <n v="48"/>
  </r>
  <r>
    <x v="341"/>
    <s v="eng"/>
    <s v="ENG"/>
    <s v="MF"/>
    <x v="5"/>
    <n v="33"/>
    <n v="1987"/>
    <n v="7"/>
    <n v="2"/>
    <n v="266"/>
    <x v="1"/>
    <n v="1"/>
    <n v="1"/>
    <n v="0"/>
    <n v="0"/>
    <n v="0"/>
    <n v="0"/>
    <m/>
    <s v="2020-2021"/>
    <n v="55"/>
  </r>
  <r>
    <x v="341"/>
    <s v="eng"/>
    <s v="ENG"/>
    <s v="MF"/>
    <x v="2"/>
    <n v="33"/>
    <n v="1987"/>
    <n v="11"/>
    <n v="11"/>
    <n v="969"/>
    <x v="2"/>
    <n v="0"/>
    <n v="2"/>
    <n v="0"/>
    <n v="0"/>
    <n v="2"/>
    <n v="0"/>
    <m/>
    <s v="2020-2021"/>
    <n v="32"/>
  </r>
  <r>
    <x v="342"/>
    <s v="eng"/>
    <s v="ENG"/>
    <s v="DF,FW"/>
    <x v="6"/>
    <n v="19"/>
    <n v="2001"/>
    <n v="17"/>
    <n v="12"/>
    <n v="1053"/>
    <x v="0"/>
    <n v="0"/>
    <n v="0"/>
    <n v="0"/>
    <n v="0"/>
    <n v="6"/>
    <n v="0"/>
    <m/>
    <s v="2020-2021"/>
    <n v="15"/>
  </r>
  <r>
    <x v="343"/>
    <s v="se"/>
    <s v="SWE"/>
    <s v="DF"/>
    <x v="4"/>
    <n v="27"/>
    <n v="1993"/>
    <n v="19"/>
    <n v="18"/>
    <n v="1563"/>
    <x v="0"/>
    <n v="0"/>
    <n v="0"/>
    <n v="0"/>
    <n v="0"/>
    <n v="0"/>
    <n v="0"/>
    <m/>
    <s v="2020-2021"/>
    <n v="57"/>
  </r>
  <r>
    <x v="137"/>
    <s v="eng"/>
    <s v="ENG"/>
    <s v="FW,MF"/>
    <x v="9"/>
    <n v="27"/>
    <n v="1992"/>
    <n v="16"/>
    <n v="12"/>
    <n v="1048"/>
    <x v="4"/>
    <n v="4"/>
    <n v="5"/>
    <n v="0"/>
    <n v="0"/>
    <n v="1"/>
    <n v="0"/>
    <m/>
    <s v="2020-2021"/>
    <n v="48"/>
  </r>
  <r>
    <x v="138"/>
    <m/>
    <m/>
    <s v="DF"/>
    <x v="4"/>
    <n v="16"/>
    <n v="2003"/>
    <n v="1"/>
    <n v="0"/>
    <n v="7"/>
    <x v="0"/>
    <n v="0"/>
    <n v="0"/>
    <n v="0"/>
    <n v="0"/>
    <n v="0"/>
    <n v="0"/>
    <m/>
    <s v="2020-2021"/>
    <n v="57"/>
  </r>
  <r>
    <x v="139"/>
    <s v="wls"/>
    <s v="WAL"/>
    <s v="MF"/>
    <x v="8"/>
    <n v="27"/>
    <n v="1993"/>
    <n v="14"/>
    <n v="11"/>
    <n v="1003"/>
    <x v="0"/>
    <n v="0"/>
    <n v="0"/>
    <n v="0"/>
    <n v="0"/>
    <n v="4"/>
    <n v="0"/>
    <m/>
    <s v="2020-2021"/>
    <n v="20"/>
  </r>
  <r>
    <x v="424"/>
    <s v="eng"/>
    <s v="ENG"/>
    <s v="GK"/>
    <x v="5"/>
    <n v="35"/>
    <n v="1984"/>
    <n v="1"/>
    <n v="1"/>
    <n v="90"/>
    <x v="0"/>
    <n v="0"/>
    <n v="0"/>
    <n v="0"/>
    <n v="0"/>
    <n v="0"/>
    <n v="0"/>
    <m/>
    <s v="2020-2021"/>
    <n v="55"/>
  </r>
  <r>
    <x v="344"/>
    <s v="fr"/>
    <s v="FRA"/>
    <s v="GK"/>
    <x v="5"/>
    <n v="31"/>
    <n v="1989"/>
    <n v="1"/>
    <n v="1"/>
    <n v="90"/>
    <x v="0"/>
    <n v="0"/>
    <n v="0"/>
    <n v="0"/>
    <n v="0"/>
    <n v="0"/>
    <n v="0"/>
    <m/>
    <s v="2020-2021"/>
    <n v="55"/>
  </r>
  <r>
    <x v="145"/>
    <s v="eng"/>
    <s v="ENG"/>
    <s v="MF,FW"/>
    <x v="0"/>
    <n v="31"/>
    <n v="1989"/>
    <n v="18"/>
    <n v="16"/>
    <n v="1401"/>
    <x v="0"/>
    <n v="1"/>
    <n v="0"/>
    <n v="0"/>
    <n v="0"/>
    <n v="3"/>
    <n v="0"/>
    <m/>
    <s v="2020-2021"/>
    <n v="15"/>
  </r>
  <r>
    <x v="146"/>
    <s v="cz"/>
    <s v="CZE"/>
    <s v="DF,MF"/>
    <x v="0"/>
    <n v="24"/>
    <n v="1996"/>
    <n v="15"/>
    <n v="13"/>
    <n v="1032"/>
    <x v="5"/>
    <n v="0"/>
    <n v="3"/>
    <n v="0"/>
    <n v="0"/>
    <n v="2"/>
    <n v="0"/>
    <m/>
    <s v="2020-2021"/>
    <n v="15"/>
  </r>
  <r>
    <x v="148"/>
    <s v="ie"/>
    <s v="IRL"/>
    <s v="DF"/>
    <x v="9"/>
    <n v="24"/>
    <n v="1995"/>
    <n v="21"/>
    <n v="19"/>
    <n v="1735"/>
    <x v="8"/>
    <n v="11"/>
    <n v="4"/>
    <n v="0"/>
    <n v="0"/>
    <n v="3"/>
    <n v="0"/>
    <m/>
    <s v="2020-2021"/>
    <n v="48"/>
  </r>
  <r>
    <x v="149"/>
    <s v="eng"/>
    <s v="ENG"/>
    <s v="FW"/>
    <x v="10"/>
    <n v="17"/>
    <n v="2002"/>
    <n v="1"/>
    <n v="1"/>
    <n v="65"/>
    <x v="0"/>
    <n v="0"/>
    <n v="0"/>
    <n v="0"/>
    <n v="0"/>
    <n v="0"/>
    <n v="0"/>
    <m/>
    <s v="2020-2021"/>
    <n v="27"/>
  </r>
  <r>
    <x v="151"/>
    <s v="eng"/>
    <s v="ENG"/>
    <s v="MF"/>
    <x v="3"/>
    <n v="24"/>
    <n v="1996"/>
    <n v="18"/>
    <n v="16"/>
    <n v="1268"/>
    <x v="2"/>
    <n v="2"/>
    <n v="2"/>
    <n v="0"/>
    <n v="0"/>
    <n v="3"/>
    <n v="0"/>
    <m/>
    <s v="2020-2021"/>
    <n v="47"/>
  </r>
  <r>
    <x v="154"/>
    <s v="wls"/>
    <s v="WAL"/>
    <s v="FW,MF"/>
    <x v="10"/>
    <n v="32"/>
    <n v="1988"/>
    <n v="16"/>
    <n v="13"/>
    <n v="1167"/>
    <x v="0"/>
    <n v="1"/>
    <n v="0"/>
    <n v="0"/>
    <n v="0"/>
    <n v="4"/>
    <n v="1"/>
    <m/>
    <s v="2020-2021"/>
    <n v="27"/>
  </r>
  <r>
    <x v="346"/>
    <s v="eng"/>
    <s v="ENG"/>
    <s v="MF"/>
    <x v="5"/>
    <n v="23"/>
    <n v="1997"/>
    <n v="20"/>
    <n v="20"/>
    <n v="1776"/>
    <x v="2"/>
    <n v="2"/>
    <n v="2"/>
    <n v="0"/>
    <n v="0"/>
    <n v="0"/>
    <n v="0"/>
    <m/>
    <s v="2020-2021"/>
    <n v="55"/>
  </r>
  <r>
    <x v="156"/>
    <s v="fr"/>
    <s v="FRA"/>
    <s v="MF"/>
    <x v="0"/>
    <n v="29"/>
    <n v="1991"/>
    <n v="18"/>
    <n v="15"/>
    <n v="1356"/>
    <x v="5"/>
    <n v="4"/>
    <n v="3"/>
    <n v="0"/>
    <n v="1"/>
    <n v="1"/>
    <n v="0"/>
    <m/>
    <s v="2020-2021"/>
    <n v="15"/>
  </r>
  <r>
    <x v="159"/>
    <s v="eng"/>
    <s v="ENG"/>
    <s v="DF"/>
    <x v="8"/>
    <n v="29"/>
    <n v="1990"/>
    <n v="14"/>
    <n v="12"/>
    <n v="1092"/>
    <x v="1"/>
    <n v="0"/>
    <n v="1"/>
    <n v="0"/>
    <n v="0"/>
    <n v="6"/>
    <n v="0"/>
    <m/>
    <s v="2020-2021"/>
    <n v="20"/>
  </r>
  <r>
    <x v="425"/>
    <s v="eng"/>
    <s v="ENG"/>
    <s v="DF,MF"/>
    <x v="13"/>
    <n v="19"/>
    <n v="2001"/>
    <n v="10"/>
    <n v="9"/>
    <n v="823"/>
    <x v="0"/>
    <n v="0"/>
    <n v="0"/>
    <n v="0"/>
    <n v="0"/>
    <n v="1"/>
    <n v="0"/>
    <m/>
    <s v="2020-2021"/>
    <n v="12"/>
  </r>
  <r>
    <x v="162"/>
    <s v="sct"/>
    <s v="SCO"/>
    <s v="MF"/>
    <x v="9"/>
    <n v="30"/>
    <n v="1990"/>
    <n v="16"/>
    <n v="14"/>
    <n v="1268"/>
    <x v="4"/>
    <n v="2"/>
    <n v="3"/>
    <n v="2"/>
    <n v="3"/>
    <n v="0"/>
    <n v="0"/>
    <m/>
    <s v="2020-2021"/>
    <n v="48"/>
  </r>
  <r>
    <x v="426"/>
    <s v="eng"/>
    <s v="ENG"/>
    <s v="DF"/>
    <x v="10"/>
    <n v="28"/>
    <n v="1992"/>
    <n v="3"/>
    <n v="1"/>
    <n v="81"/>
    <x v="0"/>
    <n v="0"/>
    <n v="0"/>
    <n v="0"/>
    <n v="0"/>
    <n v="0"/>
    <n v="0"/>
    <m/>
    <s v="2020-2021"/>
    <n v="27"/>
  </r>
  <r>
    <x v="164"/>
    <s v="sct"/>
    <s v="SCO"/>
    <s v="FW"/>
    <x v="3"/>
    <n v="22"/>
    <n v="1998"/>
    <n v="20"/>
    <n v="11"/>
    <n v="1076"/>
    <x v="4"/>
    <n v="2"/>
    <n v="5"/>
    <n v="0"/>
    <n v="0"/>
    <n v="0"/>
    <n v="0"/>
    <m/>
    <s v="2020-2021"/>
    <n v="47"/>
  </r>
  <r>
    <x v="165"/>
    <s v="sct"/>
    <s v="SCO"/>
    <s v="DF"/>
    <x v="3"/>
    <n v="26"/>
    <n v="1994"/>
    <n v="13"/>
    <n v="11"/>
    <n v="1057"/>
    <x v="0"/>
    <n v="0"/>
    <n v="0"/>
    <n v="0"/>
    <n v="0"/>
    <n v="0"/>
    <n v="0"/>
    <m/>
    <s v="2020-2021"/>
    <n v="47"/>
  </r>
  <r>
    <x v="166"/>
    <s v="eng"/>
    <s v="ENG"/>
    <s v="MF,FW"/>
    <x v="8"/>
    <n v="24"/>
    <n v="1995"/>
    <n v="17"/>
    <n v="13"/>
    <n v="1104"/>
    <x v="1"/>
    <n v="1"/>
    <n v="1"/>
    <n v="0"/>
    <n v="0"/>
    <n v="0"/>
    <n v="0"/>
    <m/>
    <s v="2020-2021"/>
    <n v="20"/>
  </r>
  <r>
    <x v="427"/>
    <s v="no"/>
    <s v="NOR"/>
    <s v="DF"/>
    <x v="7"/>
    <n v="24"/>
    <n v="1996"/>
    <n v="18"/>
    <n v="12"/>
    <n v="1175"/>
    <x v="0"/>
    <n v="0"/>
    <n v="0"/>
    <n v="0"/>
    <n v="0"/>
    <n v="2"/>
    <n v="0"/>
    <m/>
    <s v="2020-2021"/>
    <n v="24"/>
  </r>
  <r>
    <x v="170"/>
    <s v="eng"/>
    <s v="ENG"/>
    <s v="MF"/>
    <x v="5"/>
    <n v="29"/>
    <n v="1991"/>
    <n v="13"/>
    <n v="6"/>
    <n v="634"/>
    <x v="2"/>
    <n v="1"/>
    <n v="2"/>
    <n v="0"/>
    <n v="0"/>
    <n v="0"/>
    <n v="0"/>
    <m/>
    <s v="2020-2021"/>
    <n v="55"/>
  </r>
  <r>
    <x v="428"/>
    <s v="nir"/>
    <s v="NIR"/>
    <s v="DF,MF"/>
    <x v="13"/>
    <n v="24"/>
    <n v="1996"/>
    <n v="13"/>
    <n v="6"/>
    <n v="587"/>
    <x v="0"/>
    <n v="1"/>
    <n v="0"/>
    <n v="0"/>
    <n v="0"/>
    <n v="1"/>
    <n v="0"/>
    <m/>
    <s v="2020-2021"/>
    <n v="12"/>
  </r>
  <r>
    <x v="429"/>
    <s v="de"/>
    <s v="GER"/>
    <s v="DF,MF"/>
    <x v="0"/>
    <n v="28"/>
    <n v="1992"/>
    <n v="17"/>
    <n v="16"/>
    <n v="1327"/>
    <x v="0"/>
    <n v="1"/>
    <n v="0"/>
    <n v="0"/>
    <n v="0"/>
    <n v="5"/>
    <n v="1"/>
    <m/>
    <s v="2020-2021"/>
    <n v="15"/>
  </r>
  <r>
    <x v="430"/>
    <s v="eng"/>
    <s v="ENG"/>
    <s v="FW,MF"/>
    <x v="7"/>
    <n v="27"/>
    <n v="1992"/>
    <n v="15"/>
    <n v="7"/>
    <n v="718"/>
    <x v="5"/>
    <n v="0"/>
    <n v="3"/>
    <n v="0"/>
    <n v="0"/>
    <n v="2"/>
    <n v="0"/>
    <m/>
    <s v="2020-2021"/>
    <n v="24"/>
  </r>
  <r>
    <x v="172"/>
    <s v="eng"/>
    <s v="ENG"/>
    <s v="FW"/>
    <x v="5"/>
    <n v="19"/>
    <n v="2000"/>
    <n v="15"/>
    <n v="13"/>
    <n v="1057"/>
    <x v="7"/>
    <n v="8"/>
    <n v="6"/>
    <n v="0"/>
    <n v="0"/>
    <n v="0"/>
    <n v="0"/>
    <m/>
    <s v="2020-2021"/>
    <n v="55"/>
  </r>
  <r>
    <x v="173"/>
    <s v="eng"/>
    <s v="ENG"/>
    <s v="FW"/>
    <x v="3"/>
    <n v="18"/>
    <n v="2001"/>
    <n v="10"/>
    <n v="5"/>
    <n v="436"/>
    <x v="2"/>
    <n v="1"/>
    <n v="2"/>
    <n v="0"/>
    <n v="0"/>
    <n v="0"/>
    <n v="0"/>
    <m/>
    <s v="2020-2021"/>
    <n v="47"/>
  </r>
  <r>
    <x v="175"/>
    <s v="eng"/>
    <s v="ENG"/>
    <s v="FW,DF"/>
    <x v="3"/>
    <n v="26"/>
    <n v="1994"/>
    <n v="17"/>
    <n v="15"/>
    <n v="1323"/>
    <x v="7"/>
    <n v="2"/>
    <n v="6"/>
    <n v="0"/>
    <n v="0"/>
    <n v="0"/>
    <n v="0"/>
    <m/>
    <s v="2020-2021"/>
    <n v="47"/>
  </r>
  <r>
    <x v="176"/>
    <s v="eng"/>
    <s v="ENG"/>
    <s v="DF"/>
    <x v="9"/>
    <n v="23"/>
    <n v="1997"/>
    <n v="20"/>
    <n v="18"/>
    <n v="1674"/>
    <x v="1"/>
    <n v="2"/>
    <n v="1"/>
    <n v="0"/>
    <n v="0"/>
    <n v="2"/>
    <n v="0"/>
    <m/>
    <s v="2020-2021"/>
    <n v="48"/>
  </r>
  <r>
    <x v="177"/>
    <s v="ie"/>
    <s v="IRL"/>
    <s v="FW"/>
    <x v="0"/>
    <n v="21"/>
    <n v="1999"/>
    <n v="7"/>
    <n v="2"/>
    <n v="214"/>
    <x v="0"/>
    <n v="0"/>
    <n v="0"/>
    <n v="0"/>
    <n v="0"/>
    <n v="0"/>
    <n v="0"/>
    <m/>
    <s v="2020-2021"/>
    <n v="15"/>
  </r>
  <r>
    <x v="178"/>
    <s v="kr"/>
    <s v="KOR"/>
    <s v="FW"/>
    <x v="10"/>
    <n v="26"/>
    <n v="1994"/>
    <n v="17"/>
    <n v="12"/>
    <n v="1032"/>
    <x v="5"/>
    <n v="0"/>
    <n v="3"/>
    <n v="0"/>
    <n v="0"/>
    <n v="2"/>
    <n v="0"/>
    <m/>
    <s v="2020-2021"/>
    <n v="27"/>
  </r>
  <r>
    <x v="182"/>
    <s v="de"/>
    <s v="GER"/>
    <s v="DF"/>
    <x v="9"/>
    <n v="27"/>
    <n v="1992"/>
    <n v="12"/>
    <n v="6"/>
    <n v="501"/>
    <x v="0"/>
    <n v="0"/>
    <n v="0"/>
    <n v="0"/>
    <n v="0"/>
    <n v="2"/>
    <n v="0"/>
    <m/>
    <s v="2020-2021"/>
    <n v="48"/>
  </r>
  <r>
    <x v="183"/>
    <s v="ch"/>
    <s v="SUI"/>
    <s v="MF,DF"/>
    <x v="9"/>
    <n v="27"/>
    <n v="1993"/>
    <n v="20"/>
    <n v="18"/>
    <n v="1567"/>
    <x v="0"/>
    <n v="1"/>
    <n v="0"/>
    <n v="0"/>
    <n v="0"/>
    <n v="2"/>
    <n v="0"/>
    <m/>
    <s v="2020-2021"/>
    <n v="48"/>
  </r>
  <r>
    <x v="184"/>
    <s v="eng"/>
    <s v="ENG"/>
    <s v="MF,FW"/>
    <x v="10"/>
    <n v="17"/>
    <n v="2003"/>
    <n v="10"/>
    <n v="1"/>
    <n v="237"/>
    <x v="0"/>
    <n v="0"/>
    <n v="0"/>
    <n v="0"/>
    <n v="0"/>
    <n v="1"/>
    <n v="0"/>
    <m/>
    <s v="2020-2021"/>
    <n v="27"/>
  </r>
  <r>
    <x v="185"/>
    <s v="wls"/>
    <s v="WAL"/>
    <s v="DF"/>
    <x v="7"/>
    <n v="19"/>
    <n v="2000"/>
    <n v="12"/>
    <n v="10"/>
    <n v="896"/>
    <x v="0"/>
    <n v="0"/>
    <n v="0"/>
    <n v="0"/>
    <n v="0"/>
    <n v="1"/>
    <n v="0"/>
    <m/>
    <s v="2020-2021"/>
    <n v="24"/>
  </r>
  <r>
    <x v="187"/>
    <s v="sct"/>
    <s v="SCO"/>
    <s v="DF,FW"/>
    <x v="9"/>
    <n v="28"/>
    <n v="1992"/>
    <n v="11"/>
    <n v="4"/>
    <n v="471"/>
    <x v="2"/>
    <n v="1"/>
    <n v="2"/>
    <n v="0"/>
    <n v="0"/>
    <n v="0"/>
    <n v="0"/>
    <m/>
    <s v="2020-2021"/>
    <n v="48"/>
  </r>
  <r>
    <x v="431"/>
    <s v="de"/>
    <s v="GER"/>
    <s v="GK"/>
    <x v="6"/>
    <n v="32"/>
    <n v="1987"/>
    <n v="21"/>
    <n v="21"/>
    <n v="1890"/>
    <x v="0"/>
    <n v="1"/>
    <n v="0"/>
    <n v="0"/>
    <n v="0"/>
    <n v="2"/>
    <n v="0"/>
    <m/>
    <s v="2020-2021"/>
    <n v="15"/>
  </r>
  <r>
    <x v="350"/>
    <s v="eng"/>
    <s v="ENG"/>
    <s v="DF,MF"/>
    <x v="0"/>
    <n v="21"/>
    <n v="1999"/>
    <n v="5"/>
    <n v="3"/>
    <n v="278"/>
    <x v="0"/>
    <n v="0"/>
    <n v="0"/>
    <n v="0"/>
    <n v="0"/>
    <n v="0"/>
    <n v="0"/>
    <m/>
    <s v="2020-2021"/>
    <n v="15"/>
  </r>
  <r>
    <x v="432"/>
    <s v="se"/>
    <s v="SWE"/>
    <s v="DF"/>
    <x v="3"/>
    <n v="23"/>
    <n v="1997"/>
    <n v="3"/>
    <n v="1"/>
    <n v="113"/>
    <x v="0"/>
    <n v="0"/>
    <n v="0"/>
    <n v="0"/>
    <n v="0"/>
    <n v="1"/>
    <n v="0"/>
    <m/>
    <s v="2020-2021"/>
    <n v="47"/>
  </r>
  <r>
    <x v="189"/>
    <s v="eng"/>
    <s v="ENG"/>
    <s v="DF"/>
    <x v="9"/>
    <n v="21"/>
    <n v="1999"/>
    <n v="17"/>
    <n v="12"/>
    <n v="1123"/>
    <x v="2"/>
    <n v="0"/>
    <n v="2"/>
    <n v="0"/>
    <n v="0"/>
    <n v="2"/>
    <n v="0"/>
    <m/>
    <s v="2020-2021"/>
    <n v="48"/>
  </r>
  <r>
    <x v="433"/>
    <s v="do"/>
    <s v="DOM"/>
    <s v="FW,MF"/>
    <x v="8"/>
    <n v="22"/>
    <n v="1997"/>
    <n v="7"/>
    <n v="2"/>
    <n v="245"/>
    <x v="1"/>
    <n v="0"/>
    <n v="1"/>
    <n v="0"/>
    <n v="1"/>
    <n v="0"/>
    <n v="0"/>
    <m/>
    <s v="2020-2021"/>
    <n v="20"/>
  </r>
  <r>
    <x v="353"/>
    <s v="eng"/>
    <s v="ENG"/>
    <s v="DF"/>
    <x v="5"/>
    <n v="28"/>
    <n v="1991"/>
    <n v="18"/>
    <n v="18"/>
    <n v="1525"/>
    <x v="2"/>
    <n v="5"/>
    <n v="2"/>
    <n v="0"/>
    <n v="0"/>
    <n v="2"/>
    <n v="0"/>
    <m/>
    <s v="2020-2021"/>
    <n v="55"/>
  </r>
  <r>
    <x v="191"/>
    <s v="sct"/>
    <s v="SCO"/>
    <s v="MF,FW"/>
    <x v="2"/>
    <n v="23"/>
    <n v="1996"/>
    <n v="19"/>
    <n v="13"/>
    <n v="1248"/>
    <x v="4"/>
    <n v="3"/>
    <n v="4"/>
    <n v="1"/>
    <n v="2"/>
    <n v="0"/>
    <n v="0"/>
    <m/>
    <s v="2020-2021"/>
    <n v="32"/>
  </r>
  <r>
    <x v="355"/>
    <s v="ie"/>
    <s v="IRL"/>
    <s v="FW,MF"/>
    <x v="8"/>
    <n v="26"/>
    <n v="1993"/>
    <n v="19"/>
    <n v="5"/>
    <n v="585"/>
    <x v="1"/>
    <n v="0"/>
    <n v="1"/>
    <n v="0"/>
    <n v="0"/>
    <n v="0"/>
    <n v="0"/>
    <m/>
    <s v="2020-2021"/>
    <n v="20"/>
  </r>
  <r>
    <x v="193"/>
    <s v="eng"/>
    <s v="ENG"/>
    <s v="MF,FW"/>
    <x v="3"/>
    <n v="27"/>
    <n v="1992"/>
    <n v="14"/>
    <n v="6"/>
    <n v="670"/>
    <x v="0"/>
    <n v="2"/>
    <n v="0"/>
    <n v="0"/>
    <n v="0"/>
    <n v="2"/>
    <n v="0"/>
    <m/>
    <s v="2020-2021"/>
    <n v="47"/>
  </r>
  <r>
    <x v="356"/>
    <s v="eng"/>
    <s v="ENG"/>
    <s v="MF"/>
    <x v="12"/>
    <n v="24"/>
    <n v="1995"/>
    <n v="20"/>
    <n v="12"/>
    <n v="1248"/>
    <x v="0"/>
    <n v="0"/>
    <n v="0"/>
    <n v="0"/>
    <n v="0"/>
    <n v="1"/>
    <n v="0"/>
    <m/>
    <s v="2020-2021"/>
    <n v="14"/>
  </r>
  <r>
    <x v="195"/>
    <s v="au"/>
    <s v="AUS"/>
    <s v="GK"/>
    <x v="9"/>
    <n v="32"/>
    <n v="1988"/>
    <n v="9"/>
    <n v="9"/>
    <n v="810"/>
    <x v="0"/>
    <n v="0"/>
    <n v="0"/>
    <n v="0"/>
    <n v="0"/>
    <n v="0"/>
    <n v="0"/>
    <m/>
    <s v="2020-2021"/>
    <n v="48"/>
  </r>
  <r>
    <x v="196"/>
    <s v="au"/>
    <s v="AUS"/>
    <s v="GK"/>
    <x v="0"/>
    <n v="26"/>
    <n v="1994"/>
    <n v="16"/>
    <n v="16"/>
    <n v="1440"/>
    <x v="0"/>
    <n v="0"/>
    <n v="0"/>
    <n v="0"/>
    <n v="0"/>
    <n v="0"/>
    <n v="0"/>
    <m/>
    <s v="2020-2021"/>
    <n v="15"/>
  </r>
  <r>
    <x v="357"/>
    <s v="fr"/>
    <s v="FRA"/>
    <s v="MF"/>
    <x v="2"/>
    <n v="27"/>
    <n v="1992"/>
    <n v="9"/>
    <n v="6"/>
    <n v="544"/>
    <x v="0"/>
    <n v="0"/>
    <n v="0"/>
    <n v="0"/>
    <n v="0"/>
    <n v="3"/>
    <n v="0"/>
    <m/>
    <s v="2020-2021"/>
    <n v="32"/>
  </r>
  <r>
    <x v="199"/>
    <s v="se"/>
    <s v="SWE"/>
    <s v="DF"/>
    <x v="4"/>
    <n v="26"/>
    <n v="1993"/>
    <n v="20"/>
    <n v="19"/>
    <n v="1715"/>
    <x v="1"/>
    <n v="0"/>
    <n v="1"/>
    <n v="0"/>
    <n v="0"/>
    <n v="0"/>
    <n v="0"/>
    <m/>
    <s v="2020-2021"/>
    <n v="57"/>
  </r>
  <r>
    <x v="434"/>
    <s v="eng"/>
    <s v="ENG"/>
    <s v="MF"/>
    <x v="0"/>
    <n v="18"/>
    <n v="2002"/>
    <n v="3"/>
    <n v="1"/>
    <n v="94"/>
    <x v="0"/>
    <n v="0"/>
    <n v="0"/>
    <n v="0"/>
    <n v="0"/>
    <n v="0"/>
    <n v="0"/>
    <m/>
    <s v="2020-2021"/>
    <n v="15"/>
  </r>
  <r>
    <x v="200"/>
    <s v="eng"/>
    <s v="ENG"/>
    <s v="MF,FW"/>
    <x v="10"/>
    <n v="17"/>
    <n v="2003"/>
    <n v="2"/>
    <n v="0"/>
    <n v="28"/>
    <x v="0"/>
    <n v="0"/>
    <n v="0"/>
    <n v="0"/>
    <n v="0"/>
    <n v="0"/>
    <n v="0"/>
    <m/>
    <s v="2020-2021"/>
    <n v="27"/>
  </r>
  <r>
    <x v="435"/>
    <s v="ch"/>
    <s v="SUI"/>
    <s v="MF"/>
    <x v="9"/>
    <n v="19"/>
    <n v="2000"/>
    <n v="16"/>
    <n v="7"/>
    <n v="671"/>
    <x v="0"/>
    <n v="0"/>
    <n v="0"/>
    <n v="0"/>
    <n v="0"/>
    <n v="0"/>
    <n v="0"/>
    <m/>
    <s v="2020-2021"/>
    <n v="48"/>
  </r>
  <r>
    <x v="201"/>
    <s v="jp"/>
    <s v="JPN"/>
    <s v="MF,FW"/>
    <x v="6"/>
    <n v="27"/>
    <n v="1993"/>
    <n v="13"/>
    <n v="11"/>
    <n v="981"/>
    <x v="2"/>
    <n v="1"/>
    <n v="2"/>
    <n v="0"/>
    <n v="0"/>
    <n v="1"/>
    <n v="0"/>
    <m/>
    <s v="2020-2021"/>
    <n v="15"/>
  </r>
  <r>
    <x v="202"/>
    <s v="at"/>
    <s v="AUT"/>
    <s v="GK"/>
    <x v="9"/>
    <n v="24"/>
    <n v="1995"/>
    <n v="13"/>
    <n v="13"/>
    <n v="1170"/>
    <x v="0"/>
    <n v="0"/>
    <n v="0"/>
    <n v="0"/>
    <n v="0"/>
    <n v="0"/>
    <n v="0"/>
    <m/>
    <s v="2020-2021"/>
    <n v="48"/>
  </r>
  <r>
    <x v="203"/>
    <s v="no"/>
    <s v="NOR"/>
    <s v="DF"/>
    <x v="4"/>
    <n v="30"/>
    <n v="1989"/>
    <n v="15"/>
    <n v="14"/>
    <n v="1214"/>
    <x v="2"/>
    <n v="1"/>
    <n v="0"/>
    <n v="2"/>
    <n v="2"/>
    <n v="1"/>
    <n v="0"/>
    <m/>
    <s v="2020-2021"/>
    <n v="57"/>
  </r>
  <r>
    <x v="204"/>
    <s v="no"/>
    <s v="NOR"/>
    <s v="DF"/>
    <x v="3"/>
    <n v="27"/>
    <n v="1993"/>
    <n v="6"/>
    <n v="4"/>
    <n v="379"/>
    <x v="0"/>
    <n v="1"/>
    <n v="0"/>
    <n v="0"/>
    <n v="0"/>
    <n v="1"/>
    <n v="0"/>
    <m/>
    <s v="2020-2021"/>
    <n v="47"/>
  </r>
  <r>
    <x v="204"/>
    <s v="no"/>
    <s v="NOR"/>
    <s v="DF"/>
    <x v="4"/>
    <n v="27"/>
    <n v="1993"/>
    <n v="2"/>
    <n v="1"/>
    <n v="81"/>
    <x v="0"/>
    <n v="0"/>
    <n v="0"/>
    <n v="0"/>
    <n v="0"/>
    <n v="0"/>
    <n v="0"/>
    <m/>
    <s v="2020-2021"/>
    <n v="57"/>
  </r>
  <r>
    <x v="359"/>
    <s v="de"/>
    <s v="GER"/>
    <s v="MF,DF"/>
    <x v="6"/>
    <n v="31"/>
    <n v="1989"/>
    <n v="19"/>
    <n v="16"/>
    <n v="1303"/>
    <x v="0"/>
    <n v="0"/>
    <n v="0"/>
    <n v="0"/>
    <n v="0"/>
    <n v="0"/>
    <n v="0"/>
    <m/>
    <s v="2020-2021"/>
    <n v="15"/>
  </r>
  <r>
    <x v="360"/>
    <s v="eng"/>
    <s v="ENG"/>
    <s v="DF"/>
    <x v="3"/>
    <n v="25"/>
    <n v="1994"/>
    <n v="7"/>
    <n v="4"/>
    <n v="355"/>
    <x v="0"/>
    <n v="0"/>
    <n v="0"/>
    <n v="0"/>
    <n v="0"/>
    <n v="1"/>
    <n v="0"/>
    <m/>
    <s v="2020-2021"/>
    <n v="47"/>
  </r>
  <r>
    <x v="205"/>
    <s v="sct"/>
    <s v="SCO"/>
    <s v="FW"/>
    <x v="0"/>
    <n v="24"/>
    <n v="1996"/>
    <n v="16"/>
    <n v="14"/>
    <n v="1235"/>
    <x v="8"/>
    <n v="1"/>
    <n v="4"/>
    <n v="0"/>
    <n v="0"/>
    <n v="1"/>
    <n v="0"/>
    <m/>
    <s v="2020-2021"/>
    <n v="15"/>
  </r>
  <r>
    <x v="206"/>
    <s v="eng"/>
    <s v="ENG"/>
    <s v="GK"/>
    <x v="3"/>
    <n v="27"/>
    <n v="1993"/>
    <n v="22"/>
    <n v="22"/>
    <n v="1980"/>
    <x v="0"/>
    <n v="1"/>
    <n v="0"/>
    <n v="0"/>
    <n v="0"/>
    <n v="0"/>
    <n v="0"/>
    <m/>
    <s v="2020-2021"/>
    <n v="47"/>
  </r>
  <r>
    <x v="208"/>
    <s v="eng"/>
    <s v="ENG"/>
    <s v="DF"/>
    <x v="10"/>
    <n v="18"/>
    <n v="2002"/>
    <n v="22"/>
    <n v="22"/>
    <n v="1977"/>
    <x v="1"/>
    <n v="0"/>
    <n v="1"/>
    <n v="0"/>
    <n v="0"/>
    <n v="3"/>
    <n v="0"/>
    <m/>
    <s v="2020-2021"/>
    <n v="27"/>
  </r>
  <r>
    <x v="209"/>
    <s v="eng"/>
    <s v="ENG"/>
    <s v="DF"/>
    <x v="0"/>
    <n v="21"/>
    <n v="1998"/>
    <n v="17"/>
    <n v="11"/>
    <n v="1068"/>
    <x v="0"/>
    <n v="0"/>
    <n v="0"/>
    <n v="0"/>
    <n v="0"/>
    <n v="2"/>
    <n v="0"/>
    <m/>
    <s v="2020-2021"/>
    <n v="15"/>
  </r>
  <r>
    <x v="361"/>
    <s v="eng"/>
    <s v="ENG"/>
    <s v="DF"/>
    <x v="13"/>
    <n v="26"/>
    <n v="1994"/>
    <n v="3"/>
    <n v="3"/>
    <n v="249"/>
    <x v="0"/>
    <n v="0"/>
    <n v="0"/>
    <n v="0"/>
    <n v="0"/>
    <n v="0"/>
    <n v="0"/>
    <m/>
    <s v="2020-2021"/>
    <n v="12"/>
  </r>
  <r>
    <x v="211"/>
    <s v="ie"/>
    <s v="IRL"/>
    <s v="MF,DF"/>
    <x v="10"/>
    <n v="23"/>
    <n v="1997"/>
    <n v="15"/>
    <n v="14"/>
    <n v="1233"/>
    <x v="2"/>
    <n v="2"/>
    <n v="2"/>
    <n v="0"/>
    <n v="0"/>
    <n v="2"/>
    <n v="0"/>
    <m/>
    <s v="2020-2021"/>
    <n v="27"/>
  </r>
  <r>
    <x v="212"/>
    <s v="eng"/>
    <s v="ENG"/>
    <s v="DF"/>
    <x v="2"/>
    <n v="22"/>
    <n v="1998"/>
    <n v="22"/>
    <n v="22"/>
    <n v="1935"/>
    <x v="2"/>
    <n v="1"/>
    <n v="2"/>
    <n v="0"/>
    <n v="0"/>
    <n v="4"/>
    <n v="0"/>
    <m/>
    <s v="2020-2021"/>
    <n v="32"/>
  </r>
  <r>
    <x v="213"/>
    <s v="ie"/>
    <s v="IRL"/>
    <s v="GK"/>
    <x v="10"/>
    <n v="25"/>
    <n v="1994"/>
    <n v="15"/>
    <n v="15"/>
    <n v="1350"/>
    <x v="0"/>
    <n v="0"/>
    <n v="0"/>
    <n v="0"/>
    <n v="0"/>
    <n v="0"/>
    <n v="0"/>
    <m/>
    <s v="2020-2021"/>
    <n v="27"/>
  </r>
  <r>
    <x v="214"/>
    <s v="de"/>
    <s v="GER"/>
    <s v="MF"/>
    <x v="4"/>
    <n v="26"/>
    <n v="1994"/>
    <n v="19"/>
    <n v="17"/>
    <n v="1427"/>
    <x v="4"/>
    <n v="1"/>
    <n v="4"/>
    <n v="1"/>
    <n v="2"/>
    <n v="2"/>
    <n v="0"/>
    <m/>
    <s v="2020-2021"/>
    <n v="57"/>
  </r>
  <r>
    <x v="218"/>
    <s v="eng"/>
    <s v="ENG"/>
    <s v="DF"/>
    <x v="4"/>
    <n v="26"/>
    <n v="1993"/>
    <n v="21"/>
    <n v="20"/>
    <n v="1819"/>
    <x v="1"/>
    <n v="1"/>
    <n v="1"/>
    <n v="0"/>
    <n v="0"/>
    <n v="3"/>
    <n v="0"/>
    <m/>
    <s v="2020-2021"/>
    <n v="57"/>
  </r>
  <r>
    <x v="436"/>
    <m/>
    <m/>
    <s v="FW,DF"/>
    <x v="5"/>
    <n v="17"/>
    <n v="2003"/>
    <n v="4"/>
    <n v="0"/>
    <n v="47"/>
    <x v="0"/>
    <n v="0"/>
    <n v="0"/>
    <n v="0"/>
    <n v="0"/>
    <n v="0"/>
    <n v="0"/>
    <m/>
    <s v="2020-2021"/>
    <n v="55"/>
  </r>
  <r>
    <x v="219"/>
    <s v="eng"/>
    <s v="ENG"/>
    <s v="DF"/>
    <x v="3"/>
    <n v="24"/>
    <n v="1996"/>
    <n v="22"/>
    <n v="22"/>
    <n v="1980"/>
    <x v="2"/>
    <n v="0"/>
    <n v="2"/>
    <n v="0"/>
    <n v="0"/>
    <n v="1"/>
    <n v="0"/>
    <m/>
    <s v="2020-2021"/>
    <n v="47"/>
  </r>
  <r>
    <x v="437"/>
    <s v="eng"/>
    <s v="ENG"/>
    <s v="MF"/>
    <x v="12"/>
    <n v="22"/>
    <n v="1997"/>
    <n v="17"/>
    <n v="11"/>
    <n v="956"/>
    <x v="1"/>
    <n v="1"/>
    <n v="1"/>
    <n v="0"/>
    <n v="0"/>
    <n v="0"/>
    <n v="0"/>
    <m/>
    <s v="2020-2021"/>
    <n v="14"/>
  </r>
  <r>
    <x v="223"/>
    <s v="eng"/>
    <s v="ENG"/>
    <s v="DF"/>
    <x v="7"/>
    <n v="24"/>
    <n v="1996"/>
    <n v="21"/>
    <n v="20"/>
    <n v="1817"/>
    <x v="0"/>
    <n v="1"/>
    <n v="0"/>
    <n v="0"/>
    <n v="0"/>
    <n v="6"/>
    <n v="0"/>
    <m/>
    <s v="2020-2021"/>
    <n v="24"/>
  </r>
  <r>
    <x v="224"/>
    <s v="eng"/>
    <s v="ENG"/>
    <s v="MF"/>
    <x v="13"/>
    <n v="19"/>
    <n v="2001"/>
    <n v="11"/>
    <n v="11"/>
    <n v="990"/>
    <x v="0"/>
    <n v="0"/>
    <n v="0"/>
    <n v="0"/>
    <n v="0"/>
    <n v="0"/>
    <n v="0"/>
    <m/>
    <s v="2020-2021"/>
    <n v="12"/>
  </r>
  <r>
    <x v="224"/>
    <s v="eng"/>
    <s v="ENG"/>
    <s v="FW,DF"/>
    <x v="2"/>
    <n v="19"/>
    <n v="2001"/>
    <n v="4"/>
    <n v="0"/>
    <n v="60"/>
    <x v="0"/>
    <n v="0"/>
    <n v="0"/>
    <n v="0"/>
    <n v="0"/>
    <n v="0"/>
    <n v="0"/>
    <m/>
    <s v="2020-2021"/>
    <n v="32"/>
  </r>
  <r>
    <x v="438"/>
    <s v="nl"/>
    <s v="NED"/>
    <s v="MF,FW"/>
    <x v="6"/>
    <n v="26"/>
    <n v="1993"/>
    <n v="16"/>
    <n v="9"/>
    <n v="833"/>
    <x v="1"/>
    <n v="0"/>
    <n v="1"/>
    <n v="0"/>
    <n v="0"/>
    <n v="3"/>
    <n v="0"/>
    <m/>
    <s v="2020-2021"/>
    <n v="15"/>
  </r>
  <r>
    <x v="439"/>
    <s v="eng"/>
    <s v="ENG"/>
    <s v="DF"/>
    <x v="13"/>
    <n v="16"/>
    <n v="2004"/>
    <n v="7"/>
    <n v="4"/>
    <n v="380"/>
    <x v="0"/>
    <n v="0"/>
    <n v="0"/>
    <n v="0"/>
    <n v="0"/>
    <n v="0"/>
    <n v="0"/>
    <m/>
    <s v="2020-2021"/>
    <n v="12"/>
  </r>
  <r>
    <x v="362"/>
    <s v="eng"/>
    <s v="ENG"/>
    <s v="DF"/>
    <x v="6"/>
    <n v="20"/>
    <n v="1999"/>
    <n v="18"/>
    <n v="18"/>
    <n v="1570"/>
    <x v="1"/>
    <n v="1"/>
    <n v="1"/>
    <n v="0"/>
    <n v="0"/>
    <n v="0"/>
    <n v="0"/>
    <m/>
    <s v="2020-2021"/>
    <n v="15"/>
  </r>
  <r>
    <x v="228"/>
    <s v="wls"/>
    <s v="WAL"/>
    <s v="FW,DF"/>
    <x v="7"/>
    <n v="31"/>
    <n v="1989"/>
    <n v="22"/>
    <n v="22"/>
    <n v="1917"/>
    <x v="5"/>
    <n v="3"/>
    <n v="3"/>
    <n v="0"/>
    <n v="0"/>
    <n v="4"/>
    <n v="0"/>
    <m/>
    <s v="2020-2021"/>
    <n v="24"/>
  </r>
  <r>
    <x v="230"/>
    <s v="eng"/>
    <s v="ENG"/>
    <s v="DF,FW"/>
    <x v="4"/>
    <n v="21"/>
    <n v="1999"/>
    <n v="13"/>
    <n v="7"/>
    <n v="649"/>
    <x v="1"/>
    <n v="1"/>
    <n v="1"/>
    <n v="0"/>
    <n v="0"/>
    <n v="0"/>
    <n v="0"/>
    <m/>
    <s v="2020-2021"/>
    <n v="57"/>
  </r>
  <r>
    <x v="232"/>
    <s v="dk"/>
    <s v="DEN"/>
    <s v="FW"/>
    <x v="2"/>
    <n v="22"/>
    <n v="1997"/>
    <n v="22"/>
    <n v="14"/>
    <n v="1310"/>
    <x v="2"/>
    <n v="3"/>
    <n v="2"/>
    <n v="0"/>
    <n v="0"/>
    <n v="1"/>
    <n v="0"/>
    <m/>
    <s v="2020-2021"/>
    <n v="32"/>
  </r>
  <r>
    <x v="235"/>
    <s v="ch"/>
    <s v="SUI"/>
    <s v="DF"/>
    <x v="9"/>
    <n v="24"/>
    <n v="1995"/>
    <n v="12"/>
    <n v="10"/>
    <n v="842"/>
    <x v="0"/>
    <n v="4"/>
    <n v="0"/>
    <n v="0"/>
    <n v="0"/>
    <n v="1"/>
    <n v="0"/>
    <m/>
    <s v="2020-2021"/>
    <n v="48"/>
  </r>
  <r>
    <x v="440"/>
    <s v="se"/>
    <s v="SWE"/>
    <s v="FW,MF"/>
    <x v="0"/>
    <n v="18"/>
    <n v="2001"/>
    <n v="9"/>
    <n v="0"/>
    <n v="74"/>
    <x v="0"/>
    <n v="0"/>
    <n v="0"/>
    <n v="0"/>
    <n v="0"/>
    <n v="0"/>
    <n v="0"/>
    <m/>
    <s v="2020-2021"/>
    <n v="15"/>
  </r>
  <r>
    <x v="441"/>
    <s v="fi"/>
    <s v="FIN"/>
    <s v="FW,MF"/>
    <x v="10"/>
    <n v="26"/>
    <n v="1994"/>
    <n v="11"/>
    <n v="5"/>
    <n v="450"/>
    <x v="0"/>
    <n v="0"/>
    <n v="0"/>
    <n v="0"/>
    <n v="0"/>
    <n v="1"/>
    <n v="0"/>
    <m/>
    <s v="2020-2021"/>
    <n v="27"/>
  </r>
  <r>
    <x v="236"/>
    <s v="eng"/>
    <s v="ENG"/>
    <s v="MF,DF"/>
    <x v="6"/>
    <n v="15"/>
    <n v="2004"/>
    <n v="8"/>
    <n v="7"/>
    <n v="608"/>
    <x v="0"/>
    <n v="0"/>
    <n v="0"/>
    <n v="0"/>
    <n v="0"/>
    <n v="1"/>
    <n v="0"/>
    <m/>
    <s v="2020-2021"/>
    <n v="15"/>
  </r>
  <r>
    <x v="237"/>
    <s v="es"/>
    <s v="ESP"/>
    <s v="DF"/>
    <x v="3"/>
    <n v="21"/>
    <n v="1999"/>
    <n v="19"/>
    <n v="19"/>
    <n v="1632"/>
    <x v="0"/>
    <n v="0"/>
    <n v="0"/>
    <n v="0"/>
    <n v="0"/>
    <n v="1"/>
    <n v="0"/>
    <m/>
    <s v="2020-2021"/>
    <n v="47"/>
  </r>
  <r>
    <x v="239"/>
    <s v="dk"/>
    <s v="DEN"/>
    <s v="MF,FW"/>
    <x v="4"/>
    <n v="27"/>
    <n v="1992"/>
    <n v="22"/>
    <n v="15"/>
    <n v="1286"/>
    <x v="3"/>
    <n v="3"/>
    <n v="9"/>
    <n v="1"/>
    <n v="1"/>
    <n v="0"/>
    <n v="0"/>
    <m/>
    <s v="2020-2021"/>
    <n v="57"/>
  </r>
  <r>
    <x v="240"/>
    <s v="eng"/>
    <s v="ENG"/>
    <s v="DF,MF"/>
    <x v="2"/>
    <n v="20"/>
    <n v="2000"/>
    <n v="11"/>
    <n v="7"/>
    <n v="749"/>
    <x v="0"/>
    <n v="0"/>
    <n v="0"/>
    <n v="0"/>
    <n v="0"/>
    <n v="2"/>
    <n v="0"/>
    <m/>
    <s v="2020-2021"/>
    <n v="32"/>
  </r>
  <r>
    <x v="243"/>
    <s v="sct"/>
    <s v="SCO"/>
    <s v="DF"/>
    <x v="12"/>
    <n v="30"/>
    <n v="1989"/>
    <n v="7"/>
    <n v="7"/>
    <n v="630"/>
    <x v="1"/>
    <n v="0"/>
    <n v="1"/>
    <n v="0"/>
    <n v="0"/>
    <n v="1"/>
    <n v="0"/>
    <m/>
    <s v="2020-2021"/>
    <n v="14"/>
  </r>
  <r>
    <x v="244"/>
    <s v="eng"/>
    <s v="ENG"/>
    <s v="FW,DF"/>
    <x v="0"/>
    <n v="28"/>
    <n v="1991"/>
    <n v="9"/>
    <n v="8"/>
    <n v="765"/>
    <x v="5"/>
    <n v="1"/>
    <n v="3"/>
    <n v="0"/>
    <n v="0"/>
    <n v="4"/>
    <n v="0"/>
    <m/>
    <s v="2020-2021"/>
    <n v="15"/>
  </r>
  <r>
    <x v="246"/>
    <s v="wls"/>
    <s v="WAL"/>
    <s v="MF"/>
    <x v="7"/>
    <n v="27"/>
    <n v="1992"/>
    <n v="19"/>
    <n v="12"/>
    <n v="1232"/>
    <x v="4"/>
    <n v="0"/>
    <n v="5"/>
    <n v="0"/>
    <n v="0"/>
    <n v="3"/>
    <n v="1"/>
    <m/>
    <s v="2020-2021"/>
    <n v="24"/>
  </r>
  <r>
    <x v="247"/>
    <s v="eng"/>
    <s v="ENG"/>
    <s v="FW,MF"/>
    <x v="8"/>
    <n v="32"/>
    <n v="1988"/>
    <n v="12"/>
    <n v="6"/>
    <n v="541"/>
    <x v="0"/>
    <n v="0"/>
    <n v="0"/>
    <n v="0"/>
    <n v="0"/>
    <n v="0"/>
    <n v="0"/>
    <m/>
    <s v="2020-2021"/>
    <n v="20"/>
  </r>
  <r>
    <x v="249"/>
    <s v="de"/>
    <s v="GER"/>
    <s v="MF,FW"/>
    <x v="6"/>
    <n v="27"/>
    <n v="1992"/>
    <n v="11"/>
    <n v="9"/>
    <n v="788"/>
    <x v="5"/>
    <n v="0"/>
    <n v="3"/>
    <n v="0"/>
    <n v="0"/>
    <n v="1"/>
    <n v="0"/>
    <m/>
    <s v="2020-2021"/>
    <n v="15"/>
  </r>
  <r>
    <x v="364"/>
    <s v="nir"/>
    <s v="NIR"/>
    <s v="DF"/>
    <x v="12"/>
    <n v="24"/>
    <n v="1995"/>
    <n v="21"/>
    <n v="20"/>
    <n v="1811"/>
    <x v="0"/>
    <n v="0"/>
    <n v="0"/>
    <n v="0"/>
    <n v="0"/>
    <n v="3"/>
    <n v="0"/>
    <m/>
    <s v="2020-2021"/>
    <n v="14"/>
  </r>
  <r>
    <x v="251"/>
    <s v="jm"/>
    <s v="JAM"/>
    <s v="GK"/>
    <x v="8"/>
    <n v="29"/>
    <n v="1991"/>
    <n v="16"/>
    <n v="16"/>
    <n v="1440"/>
    <x v="0"/>
    <n v="0"/>
    <n v="0"/>
    <n v="0"/>
    <n v="0"/>
    <n v="0"/>
    <n v="0"/>
    <m/>
    <s v="2020-2021"/>
    <n v="20"/>
  </r>
  <r>
    <x v="252"/>
    <s v="nz"/>
    <s v="NZL"/>
    <s v="DF"/>
    <x v="10"/>
    <n v="27"/>
    <n v="1993"/>
    <n v="7"/>
    <n v="5"/>
    <n v="419"/>
    <x v="0"/>
    <n v="0"/>
    <n v="0"/>
    <n v="0"/>
    <n v="0"/>
    <n v="0"/>
    <n v="0"/>
    <m/>
    <s v="2020-2021"/>
    <n v="27"/>
  </r>
  <r>
    <x v="256"/>
    <s v="nz"/>
    <s v="NZL"/>
    <s v="MF,DF"/>
    <x v="8"/>
    <n v="30"/>
    <n v="1989"/>
    <n v="16"/>
    <n v="16"/>
    <n v="1440"/>
    <x v="0"/>
    <n v="0"/>
    <n v="0"/>
    <n v="0"/>
    <n v="0"/>
    <n v="3"/>
    <n v="0"/>
    <m/>
    <s v="2020-2021"/>
    <n v="20"/>
  </r>
  <r>
    <x v="442"/>
    <s v="eng"/>
    <s v="ENG"/>
    <s v="FW"/>
    <x v="8"/>
    <n v="21"/>
    <n v="1998"/>
    <n v="16"/>
    <n v="10"/>
    <n v="876"/>
    <x v="0"/>
    <n v="1"/>
    <n v="0"/>
    <n v="0"/>
    <n v="0"/>
    <n v="3"/>
    <n v="1"/>
    <m/>
    <s v="2020-2021"/>
    <n v="20"/>
  </r>
  <r>
    <x v="443"/>
    <s v="ie"/>
    <s v="IRL"/>
    <s v="FW"/>
    <x v="10"/>
    <n v="21"/>
    <n v="1999"/>
    <n v="16"/>
    <n v="8"/>
    <n v="735"/>
    <x v="2"/>
    <n v="0"/>
    <n v="2"/>
    <n v="0"/>
    <n v="0"/>
    <n v="0"/>
    <n v="0"/>
    <m/>
    <s v="2020-2021"/>
    <n v="27"/>
  </r>
  <r>
    <x v="257"/>
    <s v="dk"/>
    <s v="DEN"/>
    <s v="DF"/>
    <x v="2"/>
    <n v="24"/>
    <n v="1996"/>
    <n v="20"/>
    <n v="19"/>
    <n v="1666"/>
    <x v="0"/>
    <n v="1"/>
    <n v="0"/>
    <n v="0"/>
    <n v="0"/>
    <n v="3"/>
    <n v="0"/>
    <m/>
    <s v="2020-2021"/>
    <n v="32"/>
  </r>
  <r>
    <x v="444"/>
    <s v="us"/>
    <s v="USA"/>
    <s v="FW,MF"/>
    <x v="5"/>
    <n v="25"/>
    <n v="1995"/>
    <n v="16"/>
    <n v="3"/>
    <n v="466"/>
    <x v="1"/>
    <n v="0"/>
    <n v="1"/>
    <n v="0"/>
    <n v="1"/>
    <n v="0"/>
    <n v="0"/>
    <m/>
    <s v="2020-2021"/>
    <n v="55"/>
  </r>
  <r>
    <x v="259"/>
    <s v="ma"/>
    <s v="MAR"/>
    <s v="FW,MF"/>
    <x v="8"/>
    <n v="24"/>
    <n v="1996"/>
    <n v="19"/>
    <n v="10"/>
    <n v="1005"/>
    <x v="1"/>
    <n v="0"/>
    <n v="1"/>
    <n v="0"/>
    <n v="0"/>
    <n v="0"/>
    <n v="0"/>
    <m/>
    <s v="2020-2021"/>
    <n v="20"/>
  </r>
  <r>
    <x v="445"/>
    <s v="eng"/>
    <s v="ENG"/>
    <s v="MF,FW"/>
    <x v="0"/>
    <n v="18"/>
    <n v="2002"/>
    <n v="6"/>
    <n v="2"/>
    <n v="205"/>
    <x v="0"/>
    <n v="0"/>
    <n v="0"/>
    <n v="0"/>
    <n v="0"/>
    <n v="0"/>
    <n v="0"/>
    <m/>
    <s v="2020-2021"/>
    <n v="15"/>
  </r>
  <r>
    <x v="260"/>
    <s v="eng"/>
    <s v="ENG"/>
    <s v="FW,MF"/>
    <x v="9"/>
    <n v="16"/>
    <n v="2003"/>
    <n v="3"/>
    <n v="0"/>
    <n v="28"/>
    <x v="0"/>
    <n v="0"/>
    <n v="0"/>
    <n v="0"/>
    <n v="0"/>
    <n v="0"/>
    <n v="0"/>
    <m/>
    <s v="2020-2021"/>
    <n v="48"/>
  </r>
  <r>
    <x v="260"/>
    <s v="eng"/>
    <s v="ENG"/>
    <s v="DF,MF"/>
    <x v="12"/>
    <n v="16"/>
    <n v="2003"/>
    <n v="11"/>
    <n v="11"/>
    <n v="977"/>
    <x v="2"/>
    <n v="0"/>
    <n v="2"/>
    <n v="0"/>
    <n v="0"/>
    <n v="0"/>
    <n v="0"/>
    <m/>
    <s v="2020-2021"/>
    <n v="14"/>
  </r>
  <r>
    <x v="261"/>
    <s v="ie"/>
    <s v="IRL"/>
    <s v="MF"/>
    <x v="12"/>
    <n v="30"/>
    <n v="1990"/>
    <n v="11"/>
    <n v="11"/>
    <n v="888"/>
    <x v="0"/>
    <n v="0"/>
    <n v="0"/>
    <n v="0"/>
    <n v="0"/>
    <n v="6"/>
    <n v="0"/>
    <m/>
    <s v="2020-2021"/>
    <n v="14"/>
  </r>
  <r>
    <x v="263"/>
    <s v="au"/>
    <s v="AUS"/>
    <s v="FW"/>
    <x v="4"/>
    <n v="26"/>
    <n v="1993"/>
    <n v="22"/>
    <n v="19"/>
    <n v="1517"/>
    <x v="17"/>
    <n v="8"/>
    <n v="21"/>
    <n v="0"/>
    <n v="0"/>
    <n v="0"/>
    <n v="0"/>
    <m/>
    <s v="2020-2021"/>
    <n v="57"/>
  </r>
  <r>
    <x v="446"/>
    <s v="us"/>
    <s v="USA"/>
    <s v="MF"/>
    <x v="5"/>
    <n v="27"/>
    <n v="1992"/>
    <n v="17"/>
    <n v="14"/>
    <n v="1147"/>
    <x v="9"/>
    <n v="2"/>
    <n v="7"/>
    <n v="0"/>
    <n v="1"/>
    <n v="1"/>
    <n v="0"/>
    <m/>
    <s v="2020-2021"/>
    <n v="55"/>
  </r>
  <r>
    <x v="265"/>
    <s v="eng"/>
    <s v="ENG"/>
    <s v="GK"/>
    <x v="2"/>
    <n v="22"/>
    <n v="1998"/>
    <n v="18"/>
    <n v="18"/>
    <n v="1548"/>
    <x v="0"/>
    <n v="0"/>
    <n v="0"/>
    <n v="0"/>
    <n v="0"/>
    <n v="1"/>
    <n v="0"/>
    <m/>
    <s v="2020-2021"/>
    <n v="32"/>
  </r>
  <r>
    <x v="268"/>
    <s v="eng"/>
    <s v="ENG"/>
    <s v="MF,DF"/>
    <x v="12"/>
    <n v="23"/>
    <n v="1997"/>
    <n v="18"/>
    <n v="18"/>
    <n v="1564"/>
    <x v="0"/>
    <n v="4"/>
    <n v="0"/>
    <n v="0"/>
    <n v="0"/>
    <n v="2"/>
    <n v="0"/>
    <m/>
    <s v="2020-2021"/>
    <n v="14"/>
  </r>
  <r>
    <x v="368"/>
    <s v="jm"/>
    <s v="JAM"/>
    <s v="FW,MF"/>
    <x v="6"/>
    <n v="20"/>
    <n v="1999"/>
    <n v="19"/>
    <n v="13"/>
    <n v="955"/>
    <x v="2"/>
    <n v="1"/>
    <n v="2"/>
    <n v="0"/>
    <n v="0"/>
    <n v="0"/>
    <n v="0"/>
    <m/>
    <s v="2020-2021"/>
    <n v="15"/>
  </r>
  <r>
    <x v="272"/>
    <s v="ca"/>
    <s v="CAN"/>
    <s v="DF"/>
    <x v="8"/>
    <n v="27"/>
    <n v="1992"/>
    <n v="20"/>
    <n v="20"/>
    <n v="1800"/>
    <x v="0"/>
    <n v="1"/>
    <n v="0"/>
    <n v="0"/>
    <n v="0"/>
    <n v="0"/>
    <n v="0"/>
    <m/>
    <s v="2020-2021"/>
    <n v="20"/>
  </r>
  <r>
    <x v="369"/>
    <s v="eng"/>
    <s v="ENG"/>
    <s v="GK"/>
    <x v="6"/>
    <n v="22"/>
    <n v="1998"/>
    <n v="1"/>
    <n v="1"/>
    <n v="90"/>
    <x v="0"/>
    <n v="0"/>
    <n v="0"/>
    <n v="0"/>
    <n v="0"/>
    <n v="0"/>
    <n v="0"/>
    <m/>
    <s v="2020-2021"/>
    <n v="15"/>
  </r>
  <r>
    <x v="273"/>
    <s v="nir"/>
    <s v="NIR"/>
    <s v="FW,MF"/>
    <x v="2"/>
    <n v="25"/>
    <n v="1994"/>
    <n v="16"/>
    <n v="7"/>
    <n v="682"/>
    <x v="7"/>
    <n v="1"/>
    <n v="6"/>
    <n v="0"/>
    <n v="0"/>
    <n v="1"/>
    <n v="0"/>
    <m/>
    <s v="2020-2021"/>
    <n v="32"/>
  </r>
  <r>
    <x v="447"/>
    <s v="nl"/>
    <s v="NED"/>
    <s v="DF"/>
    <x v="8"/>
    <n v="28"/>
    <n v="1992"/>
    <n v="13"/>
    <n v="11"/>
    <n v="1024"/>
    <x v="2"/>
    <n v="3"/>
    <n v="2"/>
    <n v="0"/>
    <n v="0"/>
    <n v="2"/>
    <n v="0"/>
    <m/>
    <s v="2020-2021"/>
    <n v="20"/>
  </r>
  <r>
    <x v="448"/>
    <s v="eng"/>
    <s v="ENG"/>
    <s v="GK"/>
    <x v="13"/>
    <n v="23"/>
    <n v="1996"/>
    <n v="21"/>
    <n v="21"/>
    <n v="1890"/>
    <x v="0"/>
    <n v="0"/>
    <n v="0"/>
    <n v="0"/>
    <n v="0"/>
    <n v="0"/>
    <n v="0"/>
    <m/>
    <s v="2020-2021"/>
    <n v="12"/>
  </r>
  <r>
    <x v="449"/>
    <s v="eng"/>
    <s v="ENG"/>
    <s v="MF,DF"/>
    <x v="6"/>
    <n v="24"/>
    <n v="1996"/>
    <n v="8"/>
    <n v="3"/>
    <n v="323"/>
    <x v="0"/>
    <n v="0"/>
    <n v="0"/>
    <n v="0"/>
    <n v="0"/>
    <n v="0"/>
    <n v="0"/>
    <m/>
    <s v="2020-2021"/>
    <n v="15"/>
  </r>
  <r>
    <x v="277"/>
    <s v="wls"/>
    <s v="WAL"/>
    <s v="MF,DF"/>
    <x v="4"/>
    <n v="28"/>
    <n v="1991"/>
    <n v="18"/>
    <n v="13"/>
    <n v="1226"/>
    <x v="0"/>
    <n v="1"/>
    <n v="0"/>
    <n v="0"/>
    <n v="0"/>
    <n v="0"/>
    <n v="0"/>
    <m/>
    <s v="2020-2021"/>
    <n v="57"/>
  </r>
  <r>
    <x v="278"/>
    <s v="au"/>
    <s v="AUS"/>
    <s v="DF"/>
    <x v="9"/>
    <n v="26"/>
    <n v="1994"/>
    <n v="6"/>
    <n v="2"/>
    <n v="189"/>
    <x v="0"/>
    <n v="0"/>
    <n v="0"/>
    <n v="0"/>
    <n v="0"/>
    <n v="0"/>
    <n v="0"/>
    <m/>
    <s v="2020-2021"/>
    <n v="48"/>
  </r>
  <r>
    <x v="279"/>
    <s v="eng"/>
    <s v="ENG"/>
    <s v="DF"/>
    <x v="5"/>
    <n v="32"/>
    <n v="1988"/>
    <n v="16"/>
    <n v="16"/>
    <n v="1415"/>
    <x v="2"/>
    <n v="2"/>
    <n v="2"/>
    <n v="0"/>
    <n v="0"/>
    <n v="0"/>
    <n v="0"/>
    <m/>
    <s v="2020-2021"/>
    <n v="55"/>
  </r>
  <r>
    <x v="450"/>
    <s v="dk"/>
    <s v="DEN"/>
    <s v="FW"/>
    <x v="6"/>
    <n v="24"/>
    <n v="1996"/>
    <n v="17"/>
    <n v="16"/>
    <n v="1452"/>
    <x v="1"/>
    <n v="0"/>
    <n v="0"/>
    <n v="1"/>
    <n v="1"/>
    <n v="2"/>
    <n v="0"/>
    <m/>
    <s v="2020-2021"/>
    <n v="15"/>
  </r>
  <r>
    <x v="286"/>
    <s v="fi"/>
    <s v="FIN"/>
    <s v="GK"/>
    <x v="2"/>
    <n v="34"/>
    <n v="1986"/>
    <n v="5"/>
    <n v="4"/>
    <n v="432"/>
    <x v="0"/>
    <n v="0"/>
    <n v="0"/>
    <n v="0"/>
    <n v="0"/>
    <n v="0"/>
    <n v="0"/>
    <m/>
    <s v="2020-2021"/>
    <n v="32"/>
  </r>
  <r>
    <x v="376"/>
    <s v="us"/>
    <s v="USA"/>
    <s v="FW"/>
    <x v="3"/>
    <n v="32"/>
    <n v="1988"/>
    <n v="8"/>
    <n v="7"/>
    <n v="575"/>
    <x v="8"/>
    <n v="2"/>
    <n v="4"/>
    <n v="0"/>
    <n v="0"/>
    <n v="1"/>
    <n v="0"/>
    <m/>
    <s v="2020-2021"/>
    <n v="47"/>
  </r>
  <r>
    <x v="378"/>
    <s v="fr"/>
    <s v="FRA"/>
    <s v="FW"/>
    <x v="2"/>
    <n v="24"/>
    <n v="1996"/>
    <n v="15"/>
    <n v="10"/>
    <n v="811"/>
    <x v="4"/>
    <n v="1"/>
    <n v="3"/>
    <n v="2"/>
    <n v="2"/>
    <n v="0"/>
    <n v="0"/>
    <m/>
    <s v="2020-2021"/>
    <n v="32"/>
  </r>
  <r>
    <x v="287"/>
    <s v="gr"/>
    <s v="GRE"/>
    <s v="MF,FW"/>
    <x v="12"/>
    <n v="22"/>
    <n v="1998"/>
    <n v="1"/>
    <n v="0"/>
    <n v="33"/>
    <x v="1"/>
    <n v="0"/>
    <n v="1"/>
    <n v="0"/>
    <n v="0"/>
    <n v="0"/>
    <n v="0"/>
    <m/>
    <s v="2020-2021"/>
    <n v="14"/>
  </r>
  <r>
    <x v="290"/>
    <s v="jm"/>
    <s v="JAM"/>
    <s v="DF"/>
    <x v="10"/>
    <n v="30"/>
    <n v="1990"/>
    <n v="17"/>
    <n v="15"/>
    <n v="1354"/>
    <x v="0"/>
    <n v="0"/>
    <n v="0"/>
    <n v="0"/>
    <n v="0"/>
    <n v="1"/>
    <n v="0"/>
    <m/>
    <s v="2020-2021"/>
    <n v="27"/>
  </r>
  <r>
    <x v="379"/>
    <s v="at"/>
    <s v="AUT"/>
    <s v="DF"/>
    <x v="9"/>
    <n v="29"/>
    <n v="1991"/>
    <n v="6"/>
    <n v="5"/>
    <n v="459"/>
    <x v="0"/>
    <n v="0"/>
    <n v="0"/>
    <n v="0"/>
    <n v="0"/>
    <n v="0"/>
    <n v="0"/>
    <m/>
    <s v="2020-2021"/>
    <n v="48"/>
  </r>
  <r>
    <x v="293"/>
    <s v="nl"/>
    <s v="NED"/>
    <s v="FW"/>
    <x v="9"/>
    <n v="24"/>
    <n v="1996"/>
    <n v="22"/>
    <n v="21"/>
    <n v="1862"/>
    <x v="18"/>
    <n v="5"/>
    <n v="18"/>
    <n v="0"/>
    <n v="0"/>
    <n v="1"/>
    <n v="0"/>
    <m/>
    <s v="2020-2021"/>
    <n v="48"/>
  </r>
  <r>
    <x v="451"/>
    <s v="pl"/>
    <s v="POL"/>
    <s v="FW"/>
    <x v="0"/>
    <n v="17"/>
    <n v="2003"/>
    <n v="1"/>
    <n v="0"/>
    <n v="1"/>
    <x v="0"/>
    <n v="0"/>
    <n v="0"/>
    <n v="0"/>
    <n v="0"/>
    <n v="0"/>
    <n v="0"/>
    <m/>
    <s v="2020-2021"/>
    <n v="15"/>
  </r>
  <r>
    <x v="294"/>
    <s v="be"/>
    <s v="BEL"/>
    <s v="MF,FW"/>
    <x v="13"/>
    <n v="28"/>
    <n v="1992"/>
    <n v="22"/>
    <n v="19"/>
    <n v="1713"/>
    <x v="1"/>
    <n v="1"/>
    <n v="1"/>
    <n v="0"/>
    <n v="0"/>
    <n v="3"/>
    <n v="0"/>
    <m/>
    <s v="2020-2021"/>
    <n v="12"/>
  </r>
  <r>
    <x v="296"/>
    <s v="se"/>
    <s v="SWE"/>
    <s v="GK"/>
    <x v="4"/>
    <n v="24"/>
    <n v="1996"/>
    <n v="2"/>
    <n v="2"/>
    <n v="180"/>
    <x v="0"/>
    <n v="0"/>
    <n v="0"/>
    <n v="0"/>
    <n v="0"/>
    <n v="0"/>
    <n v="0"/>
    <m/>
    <s v="2020-2021"/>
    <n v="57"/>
  </r>
  <r>
    <x v="0"/>
    <s v="eng"/>
    <s v="ENG"/>
    <s v="MF"/>
    <x v="2"/>
    <n v="24"/>
    <n v="1995"/>
    <n v="11"/>
    <n v="5"/>
    <n v="505"/>
    <x v="0"/>
    <n v="0"/>
    <n v="0"/>
    <n v="0"/>
    <n v="0"/>
    <n v="3"/>
    <n v="0"/>
    <m/>
    <s v="2019-2020"/>
    <n v="19"/>
  </r>
  <r>
    <x v="298"/>
    <s v="sct"/>
    <s v="SCO"/>
    <s v="FW,MF"/>
    <x v="12"/>
    <n v="23"/>
    <n v="1995"/>
    <n v="13"/>
    <n v="13"/>
    <n v="1069"/>
    <x v="2"/>
    <n v="0"/>
    <n v="2"/>
    <n v="0"/>
    <n v="0"/>
    <n v="1"/>
    <n v="0"/>
    <m/>
    <s v="2019-2020"/>
    <n v="7"/>
  </r>
  <r>
    <x v="1"/>
    <s v="eng"/>
    <s v="ENG"/>
    <s v="DF"/>
    <x v="3"/>
    <n v="26"/>
    <n v="1993"/>
    <n v="11"/>
    <n v="11"/>
    <n v="990"/>
    <x v="0"/>
    <n v="0"/>
    <n v="0"/>
    <n v="0"/>
    <n v="0"/>
    <n v="2"/>
    <n v="0"/>
    <m/>
    <s v="2019-2020"/>
    <n v="23"/>
  </r>
  <r>
    <x v="382"/>
    <s v="sct"/>
    <s v="SCO"/>
    <s v="FW"/>
    <x v="13"/>
    <n v="21"/>
    <n v="1997"/>
    <n v="6"/>
    <n v="5"/>
    <n v="355"/>
    <x v="1"/>
    <n v="0"/>
    <n v="1"/>
    <n v="0"/>
    <n v="0"/>
    <n v="1"/>
    <n v="0"/>
    <m/>
    <s v="2019-2020"/>
    <n v="9"/>
  </r>
  <r>
    <x v="452"/>
    <s v="fi"/>
    <s v="FIN"/>
    <s v="FW,MF"/>
    <x v="4"/>
    <n v="24"/>
    <n v="1994"/>
    <n v="2"/>
    <n v="1"/>
    <n v="81"/>
    <x v="1"/>
    <n v="0"/>
    <n v="1"/>
    <n v="0"/>
    <n v="0"/>
    <n v="0"/>
    <n v="0"/>
    <m/>
    <s v="2019-2020"/>
    <n v="39"/>
  </r>
  <r>
    <x v="3"/>
    <s v="ca"/>
    <s v="CAN"/>
    <s v="FW,MF"/>
    <x v="0"/>
    <n v="26"/>
    <n v="1992"/>
    <n v="11"/>
    <n v="7"/>
    <n v="641"/>
    <x v="4"/>
    <n v="0"/>
    <n v="5"/>
    <n v="0"/>
    <n v="0"/>
    <n v="1"/>
    <n v="0"/>
    <m/>
    <s v="2019-2020"/>
    <n v="16"/>
  </r>
  <r>
    <x v="453"/>
    <s v="us"/>
    <s v="USA"/>
    <s v="DF"/>
    <x v="12"/>
    <n v="25"/>
    <n v="1994"/>
    <n v="13"/>
    <n v="13"/>
    <n v="1170"/>
    <x v="0"/>
    <n v="0"/>
    <n v="0"/>
    <n v="0"/>
    <n v="0"/>
    <n v="0"/>
    <n v="0"/>
    <m/>
    <s v="2019-2020"/>
    <n v="7"/>
  </r>
  <r>
    <x v="5"/>
    <s v="eng"/>
    <s v="ENG"/>
    <s v="MF,FW"/>
    <x v="10"/>
    <n v="27"/>
    <n v="1991"/>
    <n v="16"/>
    <n v="16"/>
    <n v="1423"/>
    <x v="4"/>
    <n v="1"/>
    <n v="5"/>
    <n v="0"/>
    <n v="0"/>
    <n v="2"/>
    <n v="0"/>
    <m/>
    <s v="2019-2020"/>
    <n v="13"/>
  </r>
  <r>
    <x v="12"/>
    <s v="ch"/>
    <s v="SUI"/>
    <s v="FW,MF"/>
    <x v="0"/>
    <n v="20"/>
    <n v="1999"/>
    <n v="13"/>
    <n v="11"/>
    <n v="966"/>
    <x v="5"/>
    <n v="2"/>
    <n v="3"/>
    <n v="0"/>
    <n v="0"/>
    <n v="1"/>
    <n v="0"/>
    <m/>
    <s v="2019-2020"/>
    <n v="16"/>
  </r>
  <r>
    <x v="14"/>
    <s v="no"/>
    <s v="NOR"/>
    <s v="FW,MF"/>
    <x v="7"/>
    <n v="23"/>
    <n v="1995"/>
    <n v="14"/>
    <n v="12"/>
    <n v="1097"/>
    <x v="2"/>
    <n v="2"/>
    <n v="2"/>
    <n v="0"/>
    <n v="0"/>
    <n v="2"/>
    <n v="0"/>
    <m/>
    <s v="2019-2020"/>
    <n v="21"/>
  </r>
  <r>
    <x v="454"/>
    <s v="se"/>
    <s v="SWE"/>
    <s v="MF,FW"/>
    <x v="10"/>
    <n v="20"/>
    <n v="1998"/>
    <n v="10"/>
    <n v="5"/>
    <n v="403"/>
    <x v="0"/>
    <n v="1"/>
    <n v="0"/>
    <n v="0"/>
    <n v="0"/>
    <n v="1"/>
    <n v="0"/>
    <m/>
    <s v="2019-2020"/>
    <n v="13"/>
  </r>
  <r>
    <x v="455"/>
    <s v="sct"/>
    <s v="SCO"/>
    <s v="MF"/>
    <x v="11"/>
    <n v="19"/>
    <n v="2000"/>
    <n v="3"/>
    <n v="3"/>
    <n v="231"/>
    <x v="0"/>
    <n v="0"/>
    <n v="0"/>
    <n v="0"/>
    <n v="0"/>
    <n v="0"/>
    <n v="0"/>
    <m/>
    <s v="2019-2020"/>
    <n v="6"/>
  </r>
  <r>
    <x v="17"/>
    <s v="eng"/>
    <s v="ENG"/>
    <s v="DF"/>
    <x v="3"/>
    <n v="28"/>
    <n v="1991"/>
    <n v="13"/>
    <n v="11"/>
    <n v="1070"/>
    <x v="0"/>
    <n v="0"/>
    <n v="0"/>
    <n v="0"/>
    <n v="0"/>
    <n v="2"/>
    <n v="0"/>
    <m/>
    <s v="2019-2020"/>
    <n v="23"/>
  </r>
  <r>
    <x v="301"/>
    <s v="eng"/>
    <s v="ENG"/>
    <s v="FW,MF"/>
    <x v="8"/>
    <n v="19"/>
    <n v="1999"/>
    <n v="7"/>
    <n v="2"/>
    <n v="202"/>
    <x v="1"/>
    <n v="1"/>
    <n v="1"/>
    <n v="0"/>
    <n v="0"/>
    <n v="0"/>
    <n v="0"/>
    <m/>
    <s v="2019-2020"/>
    <n v="20"/>
  </r>
  <r>
    <x v="18"/>
    <s v="wls"/>
    <s v="WAL"/>
    <s v="MF,DF"/>
    <x v="7"/>
    <n v="25"/>
    <n v="1994"/>
    <n v="14"/>
    <n v="13"/>
    <n v="1133"/>
    <x v="1"/>
    <n v="1"/>
    <n v="1"/>
    <n v="0"/>
    <n v="0"/>
    <n v="2"/>
    <n v="0"/>
    <m/>
    <s v="2019-2020"/>
    <n v="21"/>
  </r>
  <r>
    <x v="456"/>
    <s v="de"/>
    <s v="GER"/>
    <s v="GK"/>
    <x v="11"/>
    <n v="26"/>
    <n v="1992"/>
    <n v="10"/>
    <n v="10"/>
    <n v="900"/>
    <x v="0"/>
    <n v="0"/>
    <n v="0"/>
    <n v="0"/>
    <n v="0"/>
    <n v="0"/>
    <n v="0"/>
    <m/>
    <s v="2019-2020"/>
    <n v="6"/>
  </r>
  <r>
    <x v="387"/>
    <s v="wls"/>
    <s v="WAL"/>
    <s v="DF"/>
    <x v="8"/>
    <n v="19"/>
    <n v="1999"/>
    <n v="13"/>
    <n v="13"/>
    <n v="1152"/>
    <x v="0"/>
    <n v="0"/>
    <n v="0"/>
    <n v="0"/>
    <n v="0"/>
    <n v="0"/>
    <n v="0"/>
    <m/>
    <s v="2019-2020"/>
    <n v="20"/>
  </r>
  <r>
    <x v="457"/>
    <s v="eng"/>
    <s v="ENG"/>
    <s v="GK"/>
    <x v="0"/>
    <n v="24"/>
    <n v="1995"/>
    <n v="4"/>
    <n v="4"/>
    <n v="360"/>
    <x v="0"/>
    <n v="0"/>
    <n v="0"/>
    <n v="0"/>
    <n v="0"/>
    <n v="0"/>
    <n v="0"/>
    <m/>
    <s v="2019-2020"/>
    <n v="16"/>
  </r>
  <r>
    <x v="22"/>
    <s v="de"/>
    <s v="GER"/>
    <s v="GK"/>
    <x v="4"/>
    <n v="28"/>
    <n v="1990"/>
    <n v="13"/>
    <n v="13"/>
    <n v="1170"/>
    <x v="0"/>
    <n v="0"/>
    <n v="0"/>
    <n v="0"/>
    <n v="0"/>
    <n v="0"/>
    <n v="0"/>
    <m/>
    <s v="2019-2020"/>
    <n v="39"/>
  </r>
  <r>
    <x v="24"/>
    <s v="ie"/>
    <s v="IRL"/>
    <s v="DF"/>
    <x v="5"/>
    <n v="23"/>
    <n v="1995"/>
    <n v="4"/>
    <n v="4"/>
    <n v="356"/>
    <x v="0"/>
    <n v="0"/>
    <n v="0"/>
    <n v="0"/>
    <n v="0"/>
    <n v="1"/>
    <n v="0"/>
    <m/>
    <s v="2019-2020"/>
    <n v="40"/>
  </r>
  <r>
    <x v="25"/>
    <s v="eng"/>
    <s v="ENG"/>
    <s v="DF"/>
    <x v="8"/>
    <n v="26"/>
    <n v="1993"/>
    <n v="13"/>
    <n v="12"/>
    <n v="1092"/>
    <x v="0"/>
    <n v="0"/>
    <n v="0"/>
    <n v="0"/>
    <n v="0"/>
    <n v="2"/>
    <n v="0"/>
    <m/>
    <s v="2019-2020"/>
    <n v="20"/>
  </r>
  <r>
    <x v="458"/>
    <s v="eng"/>
    <s v="ENG"/>
    <s v="FW,MF"/>
    <x v="11"/>
    <n v="24"/>
    <n v="1995"/>
    <n v="13"/>
    <n v="2"/>
    <n v="252"/>
    <x v="0"/>
    <n v="0"/>
    <n v="0"/>
    <n v="0"/>
    <n v="0"/>
    <n v="0"/>
    <n v="0"/>
    <m/>
    <s v="2019-2020"/>
    <n v="6"/>
  </r>
  <r>
    <x v="30"/>
    <s v="eng"/>
    <s v="ENG"/>
    <s v="FW"/>
    <x v="9"/>
    <n v="24"/>
    <n v="1995"/>
    <n v="14"/>
    <n v="11"/>
    <n v="976"/>
    <x v="5"/>
    <n v="3"/>
    <n v="3"/>
    <n v="0"/>
    <n v="0"/>
    <n v="2"/>
    <n v="0"/>
    <m/>
    <s v="2019-2020"/>
    <n v="36"/>
  </r>
  <r>
    <x v="31"/>
    <s v="eng"/>
    <s v="ENG"/>
    <s v="FW"/>
    <x v="4"/>
    <n v="25"/>
    <n v="1994"/>
    <n v="15"/>
    <n v="15"/>
    <n v="1320"/>
    <x v="15"/>
    <n v="4"/>
    <n v="14"/>
    <n v="0"/>
    <n v="0"/>
    <n v="0"/>
    <n v="0"/>
    <m/>
    <s v="2019-2020"/>
    <n v="39"/>
  </r>
  <r>
    <x v="32"/>
    <s v="us"/>
    <s v="USA"/>
    <s v="MF,FW"/>
    <x v="12"/>
    <n v="24"/>
    <n v="1995"/>
    <n v="9"/>
    <n v="7"/>
    <n v="624"/>
    <x v="0"/>
    <n v="0"/>
    <n v="0"/>
    <n v="0"/>
    <n v="0"/>
    <n v="0"/>
    <n v="0"/>
    <m/>
    <s v="2019-2020"/>
    <n v="7"/>
  </r>
  <r>
    <x v="307"/>
    <s v="eng"/>
    <s v="ENG"/>
    <s v="FW"/>
    <x v="7"/>
    <n v="30"/>
    <n v="1989"/>
    <n v="14"/>
    <n v="13"/>
    <n v="1003"/>
    <x v="5"/>
    <n v="1"/>
    <n v="3"/>
    <n v="0"/>
    <n v="0"/>
    <n v="0"/>
    <n v="0"/>
    <m/>
    <s v="2019-2020"/>
    <n v="21"/>
  </r>
  <r>
    <x v="33"/>
    <s v="us"/>
    <s v="USA"/>
    <s v="DF"/>
    <x v="0"/>
    <n v="26"/>
    <n v="1993"/>
    <n v="7"/>
    <n v="4"/>
    <n v="403"/>
    <x v="0"/>
    <n v="0"/>
    <n v="0"/>
    <n v="0"/>
    <n v="0"/>
    <n v="1"/>
    <n v="0"/>
    <m/>
    <s v="2019-2020"/>
    <n v="16"/>
  </r>
  <r>
    <x v="35"/>
    <s v="eng"/>
    <s v="ENG"/>
    <s v="MF"/>
    <x v="13"/>
    <n v="22"/>
    <n v="1996"/>
    <n v="8"/>
    <n v="8"/>
    <n v="686"/>
    <x v="0"/>
    <n v="2"/>
    <n v="0"/>
    <n v="0"/>
    <n v="0"/>
    <n v="0"/>
    <n v="0"/>
    <m/>
    <s v="2019-2020"/>
    <n v="9"/>
  </r>
  <r>
    <x v="391"/>
    <s v="eng"/>
    <s v="ENG"/>
    <s v="GK"/>
    <x v="4"/>
    <n v="32"/>
    <n v="1987"/>
    <n v="2"/>
    <n v="2"/>
    <n v="180"/>
    <x v="0"/>
    <n v="0"/>
    <n v="0"/>
    <n v="0"/>
    <n v="0"/>
    <n v="0"/>
    <n v="0"/>
    <m/>
    <s v="2019-2020"/>
    <n v="39"/>
  </r>
  <r>
    <x v="308"/>
    <s v="sct"/>
    <s v="SCO"/>
    <s v="MF"/>
    <x v="5"/>
    <n v="24"/>
    <n v="1995"/>
    <n v="16"/>
    <n v="16"/>
    <n v="1440"/>
    <x v="5"/>
    <n v="5"/>
    <n v="3"/>
    <n v="0"/>
    <n v="0"/>
    <n v="1"/>
    <n v="0"/>
    <m/>
    <s v="2019-2020"/>
    <n v="40"/>
  </r>
  <r>
    <x v="394"/>
    <s v="no"/>
    <s v="NOR"/>
    <s v="DF"/>
    <x v="0"/>
    <n v="23"/>
    <n v="1995"/>
    <n v="13"/>
    <n v="10"/>
    <n v="975"/>
    <x v="0"/>
    <n v="1"/>
    <n v="0"/>
    <n v="0"/>
    <n v="0"/>
    <n v="3"/>
    <n v="0"/>
    <m/>
    <s v="2019-2020"/>
    <n v="16"/>
  </r>
  <r>
    <x v="39"/>
    <s v="eng"/>
    <s v="ENG"/>
    <s v="FW"/>
    <x v="2"/>
    <n v="23"/>
    <n v="1995"/>
    <n v="10"/>
    <n v="6"/>
    <n v="616"/>
    <x v="0"/>
    <n v="0"/>
    <n v="0"/>
    <n v="0"/>
    <n v="0"/>
    <n v="0"/>
    <n v="0"/>
    <m/>
    <s v="2019-2020"/>
    <n v="19"/>
  </r>
  <r>
    <x v="40"/>
    <s v="eng"/>
    <s v="ENG"/>
    <s v="FW,MF"/>
    <x v="13"/>
    <n v="21"/>
    <n v="1998"/>
    <n v="13"/>
    <n v="13"/>
    <n v="1156"/>
    <x v="1"/>
    <n v="0"/>
    <n v="1"/>
    <n v="0"/>
    <n v="1"/>
    <n v="0"/>
    <n v="0"/>
    <m/>
    <s v="2019-2020"/>
    <n v="9"/>
  </r>
  <r>
    <x v="311"/>
    <s v="sct"/>
    <s v="SCO"/>
    <s v="MF"/>
    <x v="12"/>
    <n v="24"/>
    <n v="1995"/>
    <n v="12"/>
    <n v="12"/>
    <n v="1067"/>
    <x v="0"/>
    <n v="0"/>
    <n v="0"/>
    <n v="0"/>
    <n v="0"/>
    <n v="1"/>
    <n v="0"/>
    <m/>
    <s v="2019-2020"/>
    <n v="7"/>
  </r>
  <r>
    <x v="44"/>
    <s v="eng"/>
    <s v="ENG"/>
    <s v="FW"/>
    <x v="2"/>
    <n v="21"/>
    <n v="1998"/>
    <n v="12"/>
    <n v="12"/>
    <n v="1065"/>
    <x v="10"/>
    <n v="1"/>
    <n v="9"/>
    <n v="0"/>
    <n v="0"/>
    <n v="2"/>
    <n v="0"/>
    <m/>
    <s v="2019-2020"/>
    <n v="19"/>
  </r>
  <r>
    <x v="395"/>
    <s v="au"/>
    <s v="AUS"/>
    <s v="MF"/>
    <x v="13"/>
    <n v="24"/>
    <n v="1994"/>
    <n v="1"/>
    <n v="1"/>
    <n v="90"/>
    <x v="0"/>
    <n v="0"/>
    <n v="0"/>
    <n v="0"/>
    <n v="0"/>
    <n v="0"/>
    <n v="0"/>
    <m/>
    <s v="2019-2020"/>
    <n v="9"/>
  </r>
  <r>
    <x v="312"/>
    <s v="eng"/>
    <s v="ENG"/>
    <s v="MF"/>
    <x v="8"/>
    <n v="20"/>
    <n v="1998"/>
    <n v="12"/>
    <n v="10"/>
    <n v="820"/>
    <x v="0"/>
    <n v="0"/>
    <n v="0"/>
    <n v="0"/>
    <n v="0"/>
    <n v="3"/>
    <n v="0"/>
    <m/>
    <s v="2019-2020"/>
    <n v="20"/>
  </r>
  <r>
    <x v="45"/>
    <s v="kr"/>
    <s v="KOR"/>
    <s v="MF"/>
    <x v="0"/>
    <n v="31"/>
    <n v="1988"/>
    <n v="8"/>
    <n v="6"/>
    <n v="547"/>
    <x v="0"/>
    <n v="0"/>
    <n v="0"/>
    <n v="0"/>
    <n v="0"/>
    <n v="0"/>
    <n v="0"/>
    <m/>
    <s v="2019-2020"/>
    <n v="16"/>
  </r>
  <r>
    <x v="313"/>
    <s v="sct"/>
    <s v="SCO"/>
    <s v="MF"/>
    <x v="11"/>
    <n v="29"/>
    <n v="1990"/>
    <n v="6"/>
    <n v="0"/>
    <n v="86"/>
    <x v="0"/>
    <n v="1"/>
    <n v="0"/>
    <n v="0"/>
    <n v="0"/>
    <n v="0"/>
    <n v="0"/>
    <m/>
    <s v="2019-2020"/>
    <n v="6"/>
  </r>
  <r>
    <x v="48"/>
    <s v="eng"/>
    <s v="ENG"/>
    <s v="FW,MF"/>
    <x v="12"/>
    <n v="23"/>
    <n v="1996"/>
    <n v="13"/>
    <n v="10"/>
    <n v="899"/>
    <x v="0"/>
    <n v="0"/>
    <n v="0"/>
    <n v="0"/>
    <n v="0"/>
    <n v="1"/>
    <n v="0"/>
    <m/>
    <s v="2019-2020"/>
    <n v="7"/>
  </r>
  <r>
    <x v="49"/>
    <s v="eng"/>
    <s v="ENG"/>
    <s v="MF,FW"/>
    <x v="12"/>
    <n v="20"/>
    <n v="1999"/>
    <n v="9"/>
    <n v="3"/>
    <n v="370"/>
    <x v="0"/>
    <n v="0"/>
    <n v="0"/>
    <n v="0"/>
    <n v="0"/>
    <n v="0"/>
    <n v="0"/>
    <m/>
    <s v="2019-2020"/>
    <n v="7"/>
  </r>
  <r>
    <x v="459"/>
    <s v="eng"/>
    <s v="ENG"/>
    <s v="MF"/>
    <x v="8"/>
    <n v="23"/>
    <n v="1996"/>
    <n v="3"/>
    <n v="2"/>
    <n v="112"/>
    <x v="0"/>
    <n v="0"/>
    <n v="0"/>
    <n v="0"/>
    <n v="0"/>
    <n v="0"/>
    <n v="0"/>
    <m/>
    <s v="2019-2020"/>
    <n v="20"/>
  </r>
  <r>
    <x v="50"/>
    <s v="ie"/>
    <s v="IRL"/>
    <s v="GK"/>
    <x v="0"/>
    <n v="23"/>
    <n v="1995"/>
    <n v="10"/>
    <n v="10"/>
    <n v="900"/>
    <x v="0"/>
    <n v="0"/>
    <n v="0"/>
    <n v="0"/>
    <n v="0"/>
    <n v="1"/>
    <n v="0"/>
    <m/>
    <s v="2019-2020"/>
    <n v="16"/>
  </r>
  <r>
    <x v="460"/>
    <s v="eng"/>
    <s v="ENG"/>
    <s v="FW"/>
    <x v="11"/>
    <n v="28"/>
    <n v="1990"/>
    <n v="11"/>
    <n v="7"/>
    <n v="599"/>
    <x v="0"/>
    <n v="0"/>
    <n v="0"/>
    <n v="0"/>
    <n v="0"/>
    <n v="0"/>
    <n v="0"/>
    <m/>
    <s v="2019-2020"/>
    <n v="6"/>
  </r>
  <r>
    <x v="315"/>
    <s v="eng"/>
    <s v="ENG"/>
    <s v="MF"/>
    <x v="10"/>
    <n v="30"/>
    <n v="1988"/>
    <n v="16"/>
    <n v="16"/>
    <n v="1340"/>
    <x v="0"/>
    <n v="0"/>
    <n v="0"/>
    <n v="0"/>
    <n v="0"/>
    <n v="4"/>
    <n v="0"/>
    <m/>
    <s v="2019-2020"/>
    <n v="13"/>
  </r>
  <r>
    <x v="54"/>
    <s v="eng"/>
    <s v="ENG"/>
    <s v="DF"/>
    <x v="2"/>
    <n v="28"/>
    <n v="1991"/>
    <n v="14"/>
    <n v="14"/>
    <n v="1260"/>
    <x v="1"/>
    <n v="1"/>
    <n v="1"/>
    <n v="0"/>
    <n v="0"/>
    <n v="0"/>
    <n v="0"/>
    <m/>
    <s v="2019-2020"/>
    <n v="19"/>
  </r>
  <r>
    <x v="399"/>
    <s v="nl"/>
    <s v="NED"/>
    <s v="FW,MF"/>
    <x v="9"/>
    <n v="27"/>
    <n v="1991"/>
    <n v="15"/>
    <n v="14"/>
    <n v="1277"/>
    <x v="4"/>
    <n v="4"/>
    <n v="5"/>
    <n v="0"/>
    <n v="0"/>
    <n v="2"/>
    <n v="0"/>
    <m/>
    <s v="2019-2020"/>
    <n v="36"/>
  </r>
  <r>
    <x v="316"/>
    <s v="nl"/>
    <s v="NED"/>
    <s v="DF"/>
    <x v="10"/>
    <n v="23"/>
    <n v="1996"/>
    <n v="14"/>
    <n v="13"/>
    <n v="1171"/>
    <x v="1"/>
    <n v="1"/>
    <n v="1"/>
    <n v="0"/>
    <n v="0"/>
    <n v="3"/>
    <n v="0"/>
    <m/>
    <s v="2019-2020"/>
    <n v="13"/>
  </r>
  <r>
    <x v="55"/>
    <s v="eng"/>
    <s v="ENG"/>
    <s v="DF"/>
    <x v="4"/>
    <n v="26"/>
    <n v="1993"/>
    <n v="1"/>
    <n v="0"/>
    <n v="29"/>
    <x v="0"/>
    <n v="0"/>
    <n v="0"/>
    <n v="0"/>
    <n v="0"/>
    <n v="0"/>
    <n v="0"/>
    <m/>
    <s v="2019-2020"/>
    <n v="39"/>
  </r>
  <r>
    <x v="59"/>
    <s v="eng"/>
    <s v="ENG"/>
    <s v="DF"/>
    <x v="5"/>
    <n v="27"/>
    <n v="1991"/>
    <n v="14"/>
    <n v="13"/>
    <n v="1135"/>
    <x v="0"/>
    <n v="0"/>
    <n v="0"/>
    <n v="0"/>
    <n v="0"/>
    <n v="0"/>
    <n v="0"/>
    <m/>
    <s v="2019-2020"/>
    <n v="40"/>
  </r>
  <r>
    <x v="63"/>
    <s v="jm"/>
    <s v="JAM"/>
    <s v="MF,FW"/>
    <x v="4"/>
    <n v="26"/>
    <n v="1992"/>
    <n v="15"/>
    <n v="8"/>
    <n v="633"/>
    <x v="5"/>
    <n v="2"/>
    <n v="3"/>
    <n v="0"/>
    <n v="0"/>
    <n v="1"/>
    <n v="0"/>
    <m/>
    <s v="2019-2020"/>
    <n v="39"/>
  </r>
  <r>
    <x v="403"/>
    <s v="eng"/>
    <s v="ENG"/>
    <s v="FW,MF"/>
    <x v="13"/>
    <n v="18"/>
    <n v="2001"/>
    <n v="14"/>
    <n v="7"/>
    <n v="746"/>
    <x v="4"/>
    <n v="1"/>
    <n v="5"/>
    <n v="0"/>
    <n v="0"/>
    <n v="1"/>
    <n v="0"/>
    <m/>
    <s v="2019-2020"/>
    <n v="9"/>
  </r>
  <r>
    <x v="461"/>
    <s v="wls"/>
    <s v="WAL"/>
    <s v="FW,MF"/>
    <x v="13"/>
    <n v="18"/>
    <n v="2001"/>
    <n v="3"/>
    <n v="2"/>
    <n v="163"/>
    <x v="0"/>
    <n v="0"/>
    <n v="0"/>
    <n v="0"/>
    <n v="0"/>
    <n v="1"/>
    <n v="0"/>
    <m/>
    <s v="2019-2020"/>
    <n v="9"/>
  </r>
  <r>
    <x v="461"/>
    <s v="wls"/>
    <s v="WAL"/>
    <s v="FW"/>
    <x v="2"/>
    <n v="18"/>
    <n v="2001"/>
    <n v="4"/>
    <n v="1"/>
    <n v="104"/>
    <x v="0"/>
    <n v="0"/>
    <n v="0"/>
    <n v="0"/>
    <n v="0"/>
    <n v="0"/>
    <n v="0"/>
    <m/>
    <s v="2019-2020"/>
    <n v="19"/>
  </r>
  <r>
    <x v="68"/>
    <s v="eng"/>
    <s v="ENG"/>
    <s v="MF,FW"/>
    <x v="3"/>
    <n v="19"/>
    <n v="1999"/>
    <n v="13"/>
    <n v="5"/>
    <n v="526"/>
    <x v="1"/>
    <n v="2"/>
    <n v="1"/>
    <n v="0"/>
    <n v="0"/>
    <n v="2"/>
    <n v="1"/>
    <m/>
    <s v="2019-2020"/>
    <n v="23"/>
  </r>
  <r>
    <x v="319"/>
    <s v="eng"/>
    <s v="ENG"/>
    <s v="FW"/>
    <x v="5"/>
    <n v="30"/>
    <n v="1989"/>
    <n v="12"/>
    <n v="10"/>
    <n v="857"/>
    <x v="7"/>
    <n v="3"/>
    <n v="6"/>
    <n v="0"/>
    <n v="0"/>
    <n v="0"/>
    <n v="0"/>
    <m/>
    <s v="2019-2020"/>
    <n v="40"/>
  </r>
  <r>
    <x v="69"/>
    <s v="eng"/>
    <s v="ENG"/>
    <s v="MF,FW"/>
    <x v="10"/>
    <n v="20"/>
    <n v="1999"/>
    <n v="6"/>
    <n v="6"/>
    <n v="451"/>
    <x v="0"/>
    <n v="0"/>
    <n v="0"/>
    <n v="0"/>
    <n v="0"/>
    <n v="0"/>
    <n v="0"/>
    <m/>
    <s v="2019-2020"/>
    <n v="13"/>
  </r>
  <r>
    <x v="70"/>
    <s v="eng"/>
    <s v="ENG"/>
    <s v="GK"/>
    <x v="5"/>
    <n v="19"/>
    <n v="1999"/>
    <n v="16"/>
    <n v="16"/>
    <n v="1439"/>
    <x v="0"/>
    <n v="0"/>
    <n v="0"/>
    <n v="0"/>
    <n v="0"/>
    <n v="0"/>
    <n v="0"/>
    <m/>
    <s v="2019-2020"/>
    <n v="40"/>
  </r>
  <r>
    <x v="408"/>
    <s v="eng"/>
    <s v="ENG"/>
    <s v="MF,FW"/>
    <x v="4"/>
    <n v="16"/>
    <n v="2003"/>
    <n v="2"/>
    <n v="0"/>
    <n v="26"/>
    <x v="1"/>
    <n v="0"/>
    <n v="1"/>
    <n v="0"/>
    <n v="0"/>
    <n v="0"/>
    <n v="0"/>
    <m/>
    <s v="2019-2020"/>
    <n v="39"/>
  </r>
  <r>
    <x v="321"/>
    <s v="eng"/>
    <s v="ENG"/>
    <s v="MF"/>
    <x v="10"/>
    <n v="29"/>
    <n v="1990"/>
    <n v="10"/>
    <n v="8"/>
    <n v="603"/>
    <x v="0"/>
    <n v="1"/>
    <n v="0"/>
    <n v="0"/>
    <n v="0"/>
    <n v="0"/>
    <n v="0"/>
    <m/>
    <s v="2019-2020"/>
    <n v="13"/>
  </r>
  <r>
    <x v="76"/>
    <s v="sct"/>
    <s v="SCO"/>
    <s v="DF"/>
    <x v="9"/>
    <n v="26"/>
    <n v="1992"/>
    <n v="2"/>
    <n v="0"/>
    <n v="34"/>
    <x v="1"/>
    <n v="0"/>
    <n v="1"/>
    <n v="0"/>
    <n v="0"/>
    <n v="0"/>
    <n v="0"/>
    <m/>
    <s v="2019-2020"/>
    <n v="36"/>
  </r>
  <r>
    <x v="76"/>
    <s v="sct"/>
    <s v="SCO"/>
    <s v="DF"/>
    <x v="8"/>
    <n v="26"/>
    <n v="1992"/>
    <n v="4"/>
    <n v="3"/>
    <n v="315"/>
    <x v="2"/>
    <n v="0"/>
    <n v="2"/>
    <n v="0"/>
    <n v="0"/>
    <n v="0"/>
    <n v="0"/>
    <m/>
    <s v="2019-2020"/>
    <n v="20"/>
  </r>
  <r>
    <x v="413"/>
    <s v="eng"/>
    <s v="ENG"/>
    <s v="MF,FW"/>
    <x v="12"/>
    <n v="22"/>
    <n v="1997"/>
    <n v="3"/>
    <n v="1"/>
    <n v="114"/>
    <x v="0"/>
    <n v="0"/>
    <n v="0"/>
    <n v="0"/>
    <n v="0"/>
    <n v="0"/>
    <n v="0"/>
    <m/>
    <s v="2019-2020"/>
    <n v="7"/>
  </r>
  <r>
    <x v="78"/>
    <s v="sct"/>
    <s v="SCO"/>
    <s v="MF,FW"/>
    <x v="4"/>
    <n v="21"/>
    <n v="1998"/>
    <n v="14"/>
    <n v="12"/>
    <n v="1067"/>
    <x v="2"/>
    <n v="4"/>
    <n v="2"/>
    <n v="0"/>
    <n v="0"/>
    <n v="2"/>
    <n v="0"/>
    <m/>
    <s v="2019-2020"/>
    <n v="39"/>
  </r>
  <r>
    <x v="79"/>
    <s v="us"/>
    <s v="USA"/>
    <s v="DF"/>
    <x v="0"/>
    <n v="24"/>
    <n v="1994"/>
    <n v="2"/>
    <n v="2"/>
    <n v="133"/>
    <x v="0"/>
    <n v="1"/>
    <n v="0"/>
    <n v="0"/>
    <n v="0"/>
    <n v="0"/>
    <n v="0"/>
    <m/>
    <s v="2019-2020"/>
    <n v="16"/>
  </r>
  <r>
    <x v="80"/>
    <s v="eng"/>
    <s v="ENG"/>
    <s v="DF"/>
    <x v="2"/>
    <n v="18"/>
    <n v="2000"/>
    <n v="11"/>
    <n v="10"/>
    <n v="920"/>
    <x v="1"/>
    <n v="0"/>
    <n v="1"/>
    <n v="0"/>
    <n v="0"/>
    <n v="2"/>
    <n v="0"/>
    <m/>
    <s v="2019-2020"/>
    <n v="19"/>
  </r>
  <r>
    <x v="323"/>
    <s v="nl"/>
    <s v="NED"/>
    <s v="FW"/>
    <x v="0"/>
    <n v="21"/>
    <n v="1997"/>
    <n v="2"/>
    <n v="0"/>
    <n v="37"/>
    <x v="0"/>
    <n v="0"/>
    <n v="0"/>
    <n v="0"/>
    <n v="0"/>
    <n v="0"/>
    <n v="0"/>
    <m/>
    <s v="2019-2020"/>
    <n v="16"/>
  </r>
  <r>
    <x v="414"/>
    <s v="eng"/>
    <s v="ENG"/>
    <s v="MF,FW"/>
    <x v="7"/>
    <n v="35"/>
    <n v="1984"/>
    <n v="14"/>
    <n v="14"/>
    <n v="1214"/>
    <x v="4"/>
    <n v="6"/>
    <n v="3"/>
    <n v="2"/>
    <n v="3"/>
    <n v="0"/>
    <n v="0"/>
    <m/>
    <s v="2019-2020"/>
    <n v="21"/>
  </r>
  <r>
    <x v="85"/>
    <s v="eng"/>
    <s v="ENG"/>
    <s v="DF"/>
    <x v="13"/>
    <n v="22"/>
    <n v="1997"/>
    <n v="3"/>
    <n v="2"/>
    <n v="206"/>
    <x v="0"/>
    <n v="0"/>
    <n v="0"/>
    <n v="0"/>
    <n v="0"/>
    <n v="1"/>
    <n v="0"/>
    <m/>
    <s v="2019-2020"/>
    <n v="9"/>
  </r>
  <r>
    <x v="325"/>
    <s v="eng"/>
    <s v="ENG"/>
    <s v="DF"/>
    <x v="10"/>
    <n v="25"/>
    <n v="1994"/>
    <n v="15"/>
    <n v="15"/>
    <n v="1350"/>
    <x v="0"/>
    <n v="0"/>
    <n v="0"/>
    <n v="0"/>
    <n v="0"/>
    <n v="1"/>
    <n v="0"/>
    <m/>
    <s v="2019-2020"/>
    <n v="13"/>
  </r>
  <r>
    <x v="462"/>
    <s v="eng"/>
    <s v="ENG"/>
    <s v="DF"/>
    <x v="10"/>
    <n v="30"/>
    <n v="1988"/>
    <n v="3"/>
    <n v="3"/>
    <n v="258"/>
    <x v="0"/>
    <n v="0"/>
    <n v="0"/>
    <n v="0"/>
    <n v="0"/>
    <n v="0"/>
    <n v="0"/>
    <m/>
    <s v="2019-2020"/>
    <n v="13"/>
  </r>
  <r>
    <x v="463"/>
    <s v="se"/>
    <s v="SWE"/>
    <s v="DF"/>
    <x v="0"/>
    <n v="19"/>
    <n v="2000"/>
    <n v="2"/>
    <n v="0"/>
    <n v="52"/>
    <x v="0"/>
    <n v="0"/>
    <n v="0"/>
    <n v="0"/>
    <n v="0"/>
    <n v="0"/>
    <n v="0"/>
    <m/>
    <s v="2019-2020"/>
    <n v="16"/>
  </r>
  <r>
    <x v="415"/>
    <s v="eng"/>
    <s v="ENG"/>
    <s v="DF"/>
    <x v="13"/>
    <n v="19"/>
    <n v="1999"/>
    <n v="6"/>
    <n v="3"/>
    <n v="268"/>
    <x v="0"/>
    <n v="0"/>
    <n v="0"/>
    <n v="0"/>
    <n v="0"/>
    <n v="0"/>
    <n v="0"/>
    <m/>
    <s v="2019-2020"/>
    <n v="9"/>
  </r>
  <r>
    <x v="88"/>
    <s v="eng"/>
    <s v="ENG"/>
    <s v="FW,MF"/>
    <x v="4"/>
    <n v="26"/>
    <n v="1993"/>
    <n v="4"/>
    <n v="2"/>
    <n v="194"/>
    <x v="0"/>
    <n v="3"/>
    <n v="0"/>
    <n v="0"/>
    <n v="0"/>
    <n v="0"/>
    <n v="0"/>
    <m/>
    <s v="2019-2020"/>
    <n v="39"/>
  </r>
  <r>
    <x v="464"/>
    <s v="eng"/>
    <s v="ENG"/>
    <s v="GK"/>
    <x v="11"/>
    <n v="21"/>
    <n v="1998"/>
    <n v="4"/>
    <n v="4"/>
    <n v="360"/>
    <x v="0"/>
    <n v="0"/>
    <n v="0"/>
    <n v="0"/>
    <n v="0"/>
    <n v="0"/>
    <n v="0"/>
    <m/>
    <s v="2019-2020"/>
    <n v="6"/>
  </r>
  <r>
    <x v="465"/>
    <s v="sct"/>
    <s v="SCO"/>
    <s v="MF,DF"/>
    <x v="13"/>
    <n v="31"/>
    <n v="1987"/>
    <n v="13"/>
    <n v="13"/>
    <n v="1144"/>
    <x v="0"/>
    <n v="0"/>
    <n v="0"/>
    <n v="0"/>
    <n v="0"/>
    <n v="2"/>
    <n v="0"/>
    <m/>
    <s v="2019-2020"/>
    <n v="9"/>
  </r>
  <r>
    <x v="90"/>
    <s v="eng"/>
    <s v="ENG"/>
    <s v="FW"/>
    <x v="12"/>
    <n v="16"/>
    <n v="2003"/>
    <n v="3"/>
    <n v="1"/>
    <n v="85"/>
    <x v="0"/>
    <n v="0"/>
    <n v="0"/>
    <n v="0"/>
    <n v="0"/>
    <n v="0"/>
    <n v="0"/>
    <m/>
    <s v="2019-2020"/>
    <n v="7"/>
  </r>
  <r>
    <x v="93"/>
    <s v="eng"/>
    <s v="ENG"/>
    <s v="DF"/>
    <x v="2"/>
    <n v="22"/>
    <n v="1997"/>
    <n v="13"/>
    <n v="13"/>
    <n v="1170"/>
    <x v="0"/>
    <n v="0"/>
    <n v="0"/>
    <n v="0"/>
    <n v="0"/>
    <n v="3"/>
    <n v="0"/>
    <m/>
    <s v="2019-2020"/>
    <n v="19"/>
  </r>
  <r>
    <x v="94"/>
    <s v="eng"/>
    <s v="ENG"/>
    <s v="DF"/>
    <x v="5"/>
    <n v="28"/>
    <n v="1991"/>
    <n v="16"/>
    <n v="16"/>
    <n v="1440"/>
    <x v="5"/>
    <n v="0"/>
    <n v="3"/>
    <n v="0"/>
    <n v="0"/>
    <n v="3"/>
    <n v="0"/>
    <m/>
    <s v="2019-2020"/>
    <n v="40"/>
  </r>
  <r>
    <x v="326"/>
    <s v="eng"/>
    <s v="ENG"/>
    <s v="MF,FW"/>
    <x v="8"/>
    <n v="32"/>
    <n v="1987"/>
    <n v="12"/>
    <n v="9"/>
    <n v="876"/>
    <x v="0"/>
    <n v="1"/>
    <n v="0"/>
    <n v="0"/>
    <n v="0"/>
    <n v="0"/>
    <n v="0"/>
    <m/>
    <s v="2019-2020"/>
    <n v="20"/>
  </r>
  <r>
    <x v="95"/>
    <s v="wls"/>
    <s v="WAL"/>
    <s v="DF"/>
    <x v="13"/>
    <n v="22"/>
    <n v="1996"/>
    <n v="12"/>
    <n v="11"/>
    <n v="1010"/>
    <x v="0"/>
    <n v="0"/>
    <n v="0"/>
    <n v="0"/>
    <n v="0"/>
    <n v="1"/>
    <n v="0"/>
    <m/>
    <s v="2019-2020"/>
    <n v="9"/>
  </r>
  <r>
    <x v="96"/>
    <s v="eng"/>
    <s v="ENG"/>
    <s v="DF"/>
    <x v="12"/>
    <n v="23"/>
    <n v="1996"/>
    <n v="2"/>
    <n v="2"/>
    <n v="180"/>
    <x v="0"/>
    <n v="0"/>
    <n v="0"/>
    <n v="0"/>
    <n v="0"/>
    <n v="0"/>
    <n v="0"/>
    <m/>
    <s v="2019-2020"/>
    <n v="7"/>
  </r>
  <r>
    <x v="328"/>
    <s v="eng"/>
    <s v="ENG"/>
    <s v="FW,DF"/>
    <x v="5"/>
    <n v="20"/>
    <n v="1999"/>
    <n v="13"/>
    <n v="8"/>
    <n v="832"/>
    <x v="8"/>
    <n v="2"/>
    <n v="4"/>
    <n v="0"/>
    <n v="1"/>
    <n v="3"/>
    <n v="1"/>
    <m/>
    <s v="2019-2020"/>
    <n v="40"/>
  </r>
  <r>
    <x v="416"/>
    <s v="eng"/>
    <s v="ENG"/>
    <s v="MF,FW"/>
    <x v="13"/>
    <n v="17"/>
    <n v="2002"/>
    <n v="8"/>
    <n v="5"/>
    <n v="397"/>
    <x v="0"/>
    <n v="0"/>
    <n v="0"/>
    <n v="0"/>
    <n v="0"/>
    <n v="1"/>
    <n v="0"/>
    <m/>
    <s v="2019-2020"/>
    <n v="9"/>
  </r>
  <r>
    <x v="99"/>
    <s v="eng"/>
    <s v="ENG"/>
    <s v="DF"/>
    <x v="0"/>
    <n v="27"/>
    <n v="1991"/>
    <n v="14"/>
    <n v="14"/>
    <n v="1260"/>
    <x v="0"/>
    <n v="0"/>
    <n v="0"/>
    <n v="0"/>
    <n v="0"/>
    <n v="2"/>
    <n v="0"/>
    <m/>
    <s v="2019-2020"/>
    <n v="16"/>
  </r>
  <r>
    <x v="101"/>
    <s v="eng"/>
    <s v="ENG"/>
    <s v="DF"/>
    <x v="0"/>
    <n v="21"/>
    <n v="1998"/>
    <n v="5"/>
    <n v="5"/>
    <n v="422"/>
    <x v="0"/>
    <n v="0"/>
    <n v="0"/>
    <n v="0"/>
    <n v="0"/>
    <n v="1"/>
    <n v="0"/>
    <m/>
    <s v="2019-2020"/>
    <n v="16"/>
  </r>
  <r>
    <x v="102"/>
    <s v="ie"/>
    <s v="IRL"/>
    <s v="GK"/>
    <x v="7"/>
    <n v="26"/>
    <n v="1993"/>
    <n v="10"/>
    <n v="10"/>
    <n v="827"/>
    <x v="0"/>
    <n v="0"/>
    <n v="0"/>
    <n v="0"/>
    <n v="0"/>
    <n v="1"/>
    <n v="1"/>
    <m/>
    <s v="2019-2020"/>
    <n v="21"/>
  </r>
  <r>
    <x v="105"/>
    <s v="no"/>
    <s v="NOR"/>
    <s v="MF,FW"/>
    <x v="4"/>
    <n v="25"/>
    <n v="1994"/>
    <n v="15"/>
    <n v="15"/>
    <n v="1205"/>
    <x v="4"/>
    <n v="7"/>
    <n v="5"/>
    <n v="0"/>
    <n v="0"/>
    <n v="0"/>
    <n v="0"/>
    <m/>
    <s v="2019-2020"/>
    <n v="39"/>
  </r>
  <r>
    <x v="108"/>
    <s v="eng"/>
    <s v="ENG"/>
    <s v="DF"/>
    <x v="4"/>
    <n v="25"/>
    <n v="1994"/>
    <n v="8"/>
    <n v="4"/>
    <n v="417"/>
    <x v="1"/>
    <n v="0"/>
    <n v="1"/>
    <n v="0"/>
    <n v="0"/>
    <n v="0"/>
    <n v="0"/>
    <m/>
    <s v="2019-2020"/>
    <n v="39"/>
  </r>
  <r>
    <x v="109"/>
    <s v="wls"/>
    <s v="WAL"/>
    <s v="FW"/>
    <x v="2"/>
    <n v="20"/>
    <n v="1999"/>
    <n v="13"/>
    <n v="5"/>
    <n v="551"/>
    <x v="0"/>
    <n v="1"/>
    <n v="0"/>
    <n v="0"/>
    <n v="0"/>
    <n v="2"/>
    <n v="0"/>
    <m/>
    <s v="2019-2020"/>
    <n v="19"/>
  </r>
  <r>
    <x v="417"/>
    <s v="sct"/>
    <s v="SCO"/>
    <s v="DF"/>
    <x v="8"/>
    <n v="22"/>
    <n v="1997"/>
    <n v="14"/>
    <n v="14"/>
    <n v="1260"/>
    <x v="0"/>
    <n v="0"/>
    <n v="0"/>
    <n v="0"/>
    <n v="0"/>
    <n v="2"/>
    <n v="0"/>
    <m/>
    <s v="2019-2020"/>
    <n v="20"/>
  </r>
  <r>
    <x v="110"/>
    <s v="eng"/>
    <s v="ENG"/>
    <s v="GK"/>
    <x v="12"/>
    <n v="18"/>
    <n v="2000"/>
    <n v="13"/>
    <n v="13"/>
    <n v="1170"/>
    <x v="0"/>
    <n v="0"/>
    <n v="0"/>
    <n v="0"/>
    <n v="0"/>
    <n v="0"/>
    <n v="0"/>
    <m/>
    <s v="2019-2020"/>
    <n v="7"/>
  </r>
  <r>
    <x v="331"/>
    <s v="ie"/>
    <s v="IRL"/>
    <s v="DF"/>
    <x v="12"/>
    <n v="26"/>
    <n v="1993"/>
    <n v="11"/>
    <n v="9"/>
    <n v="793"/>
    <x v="0"/>
    <n v="0"/>
    <n v="0"/>
    <n v="0"/>
    <n v="0"/>
    <n v="1"/>
    <n v="0"/>
    <m/>
    <s v="2019-2020"/>
    <n v="7"/>
  </r>
  <r>
    <x v="113"/>
    <s v="wls"/>
    <s v="WAL"/>
    <s v="MF"/>
    <x v="3"/>
    <n v="25"/>
    <n v="1993"/>
    <n v="14"/>
    <n v="14"/>
    <n v="1229"/>
    <x v="0"/>
    <n v="0"/>
    <n v="0"/>
    <n v="0"/>
    <n v="0"/>
    <n v="3"/>
    <n v="0"/>
    <m/>
    <s v="2019-2020"/>
    <n v="23"/>
  </r>
  <r>
    <x v="332"/>
    <s v="nl"/>
    <s v="NED"/>
    <s v="FW,MF"/>
    <x v="2"/>
    <n v="23"/>
    <n v="1996"/>
    <n v="12"/>
    <n v="12"/>
    <n v="985"/>
    <x v="1"/>
    <n v="2"/>
    <n v="1"/>
    <n v="0"/>
    <n v="0"/>
    <n v="2"/>
    <n v="0"/>
    <m/>
    <s v="2019-2020"/>
    <n v="19"/>
  </r>
  <r>
    <x v="466"/>
    <s v="ng"/>
    <s v="NGA"/>
    <s v="FW"/>
    <x v="10"/>
    <n v="25"/>
    <n v="1994"/>
    <n v="14"/>
    <n v="6"/>
    <n v="635"/>
    <x v="1"/>
    <n v="0"/>
    <n v="1"/>
    <n v="0"/>
    <n v="0"/>
    <n v="1"/>
    <n v="0"/>
    <m/>
    <s v="2019-2020"/>
    <n v="13"/>
  </r>
  <r>
    <x v="335"/>
    <s v="nl"/>
    <s v="NED"/>
    <s v="MF"/>
    <x v="3"/>
    <n v="24"/>
    <n v="1994"/>
    <n v="12"/>
    <n v="12"/>
    <n v="1024"/>
    <x v="0"/>
    <n v="1"/>
    <n v="0"/>
    <n v="0"/>
    <n v="0"/>
    <n v="0"/>
    <n v="0"/>
    <m/>
    <s v="2019-2020"/>
    <n v="23"/>
  </r>
  <r>
    <x v="467"/>
    <s v="au"/>
    <s v="AUS"/>
    <s v="MF,FW"/>
    <x v="0"/>
    <n v="18"/>
    <n v="2001"/>
    <n v="11"/>
    <n v="5"/>
    <n v="490"/>
    <x v="0"/>
    <n v="0"/>
    <n v="0"/>
    <n v="0"/>
    <n v="0"/>
    <n v="3"/>
    <n v="0"/>
    <m/>
    <s v="2019-2020"/>
    <n v="16"/>
  </r>
  <r>
    <x v="468"/>
    <s v="jm"/>
    <s v="JAM"/>
    <s v="MF"/>
    <x v="11"/>
    <n v="23"/>
    <n v="1995"/>
    <n v="13"/>
    <n v="13"/>
    <n v="1135"/>
    <x v="0"/>
    <n v="0"/>
    <n v="0"/>
    <n v="0"/>
    <n v="0"/>
    <n v="0"/>
    <n v="0"/>
    <m/>
    <s v="2019-2020"/>
    <n v="6"/>
  </r>
  <r>
    <x v="120"/>
    <s v="eng"/>
    <s v="ENG"/>
    <s v="MF"/>
    <x v="7"/>
    <n v="28"/>
    <n v="1990"/>
    <n v="14"/>
    <n v="14"/>
    <n v="1230"/>
    <x v="8"/>
    <n v="0"/>
    <n v="4"/>
    <n v="0"/>
    <n v="0"/>
    <n v="5"/>
    <n v="0"/>
    <m/>
    <s v="2019-2020"/>
    <n v="21"/>
  </r>
  <r>
    <x v="419"/>
    <s v="sct"/>
    <s v="SCO"/>
    <s v="MF"/>
    <x v="4"/>
    <n v="19"/>
    <n v="2000"/>
    <n v="2"/>
    <n v="0"/>
    <n v="16"/>
    <x v="0"/>
    <n v="0"/>
    <n v="0"/>
    <n v="0"/>
    <n v="0"/>
    <n v="0"/>
    <n v="0"/>
    <m/>
    <s v="2019-2020"/>
    <n v="39"/>
  </r>
  <r>
    <x v="420"/>
    <s v="sct"/>
    <s v="SCO"/>
    <s v="FW"/>
    <x v="3"/>
    <n v="29"/>
    <n v="1989"/>
    <n v="11"/>
    <n v="7"/>
    <n v="570"/>
    <x v="1"/>
    <n v="1"/>
    <n v="1"/>
    <n v="0"/>
    <n v="0"/>
    <n v="0"/>
    <n v="0"/>
    <m/>
    <s v="2019-2020"/>
    <n v="23"/>
  </r>
  <r>
    <x v="338"/>
    <s v="ca"/>
    <s v="CAN"/>
    <s v="DF,FW"/>
    <x v="5"/>
    <n v="24"/>
    <n v="1994"/>
    <n v="14"/>
    <n v="14"/>
    <n v="1170"/>
    <x v="0"/>
    <n v="8"/>
    <n v="0"/>
    <n v="0"/>
    <n v="0"/>
    <n v="1"/>
    <n v="0"/>
    <m/>
    <s v="2019-2020"/>
    <n v="40"/>
  </r>
  <r>
    <x v="122"/>
    <s v="eng"/>
    <s v="ENG"/>
    <s v="DF,MF"/>
    <x v="13"/>
    <n v="26"/>
    <n v="1993"/>
    <n v="13"/>
    <n v="13"/>
    <n v="1170"/>
    <x v="0"/>
    <n v="1"/>
    <n v="0"/>
    <n v="0"/>
    <n v="0"/>
    <n v="0"/>
    <n v="0"/>
    <m/>
    <s v="2019-2020"/>
    <n v="9"/>
  </r>
  <r>
    <x v="126"/>
    <s v="eng"/>
    <s v="ENG"/>
    <s v="DF"/>
    <x v="11"/>
    <n v="22"/>
    <n v="1997"/>
    <n v="2"/>
    <n v="1"/>
    <n v="114"/>
    <x v="0"/>
    <n v="0"/>
    <n v="0"/>
    <n v="0"/>
    <n v="0"/>
    <n v="0"/>
    <n v="0"/>
    <m/>
    <s v="2019-2020"/>
    <n v="6"/>
  </r>
  <r>
    <x v="469"/>
    <s v="eng"/>
    <s v="ENG"/>
    <s v="DF"/>
    <x v="8"/>
    <n v="35"/>
    <n v="1984"/>
    <n v="3"/>
    <n v="3"/>
    <n v="270"/>
    <x v="0"/>
    <n v="0"/>
    <n v="0"/>
    <n v="0"/>
    <n v="0"/>
    <n v="1"/>
    <n v="0"/>
    <m/>
    <s v="2019-2020"/>
    <n v="20"/>
  </r>
  <r>
    <x v="127"/>
    <s v="sct"/>
    <s v="SCO"/>
    <s v="DF"/>
    <x v="9"/>
    <n v="28"/>
    <n v="1991"/>
    <n v="10"/>
    <n v="9"/>
    <n v="822"/>
    <x v="0"/>
    <n v="0"/>
    <n v="0"/>
    <n v="0"/>
    <n v="0"/>
    <n v="1"/>
    <n v="0"/>
    <m/>
    <s v="2019-2020"/>
    <n v="36"/>
  </r>
  <r>
    <x v="339"/>
    <s v="kr"/>
    <s v="KOR"/>
    <s v="MF,FW"/>
    <x v="13"/>
    <n v="30"/>
    <n v="1988"/>
    <n v="2"/>
    <n v="2"/>
    <n v="120"/>
    <x v="0"/>
    <n v="0"/>
    <n v="0"/>
    <n v="0"/>
    <n v="0"/>
    <n v="0"/>
    <n v="0"/>
    <m/>
    <s v="2019-2020"/>
    <n v="9"/>
  </r>
  <r>
    <x v="128"/>
    <s v="eng"/>
    <s v="ENG"/>
    <s v="DF,MF"/>
    <x v="4"/>
    <n v="21"/>
    <n v="1997"/>
    <n v="8"/>
    <n v="1"/>
    <n v="173"/>
    <x v="1"/>
    <n v="1"/>
    <n v="1"/>
    <n v="0"/>
    <n v="0"/>
    <n v="1"/>
    <n v="0"/>
    <m/>
    <s v="2019-2020"/>
    <n v="39"/>
  </r>
  <r>
    <x v="470"/>
    <s v="eng"/>
    <s v="ENG"/>
    <s v="FW,MF"/>
    <x v="11"/>
    <n v="30"/>
    <n v="1989"/>
    <n v="7"/>
    <n v="4"/>
    <n v="363"/>
    <x v="0"/>
    <n v="0"/>
    <n v="0"/>
    <n v="0"/>
    <n v="0"/>
    <n v="0"/>
    <n v="0"/>
    <m/>
    <s v="2019-2020"/>
    <n v="6"/>
  </r>
  <r>
    <x v="131"/>
    <s v="eng"/>
    <s v="ENG"/>
    <s v="MF"/>
    <x v="5"/>
    <n v="17"/>
    <n v="2001"/>
    <n v="2"/>
    <n v="0"/>
    <n v="17"/>
    <x v="0"/>
    <n v="0"/>
    <n v="0"/>
    <n v="0"/>
    <n v="0"/>
    <n v="0"/>
    <n v="0"/>
    <m/>
    <s v="2019-2020"/>
    <n v="40"/>
  </r>
  <r>
    <x v="132"/>
    <s v="eng"/>
    <s v="ENG"/>
    <s v="FW,MF"/>
    <x v="3"/>
    <n v="24"/>
    <n v="1994"/>
    <n v="14"/>
    <n v="7"/>
    <n v="720"/>
    <x v="2"/>
    <n v="3"/>
    <n v="2"/>
    <n v="0"/>
    <n v="0"/>
    <n v="0"/>
    <n v="0"/>
    <m/>
    <s v="2019-2020"/>
    <n v="23"/>
  </r>
  <r>
    <x v="340"/>
    <s v="kr"/>
    <s v="KOR"/>
    <s v="MF"/>
    <x v="4"/>
    <n v="28"/>
    <n v="1991"/>
    <n v="13"/>
    <n v="12"/>
    <n v="999"/>
    <x v="7"/>
    <n v="3"/>
    <n v="6"/>
    <n v="0"/>
    <n v="0"/>
    <n v="1"/>
    <n v="0"/>
    <m/>
    <s v="2019-2020"/>
    <n v="39"/>
  </r>
  <r>
    <x v="423"/>
    <s v="nl"/>
    <s v="NED"/>
    <s v="MF,FW"/>
    <x v="9"/>
    <n v="22"/>
    <n v="1997"/>
    <n v="14"/>
    <n v="9"/>
    <n v="848"/>
    <x v="2"/>
    <n v="0"/>
    <n v="2"/>
    <n v="0"/>
    <n v="0"/>
    <n v="4"/>
    <n v="0"/>
    <m/>
    <s v="2019-2020"/>
    <n v="36"/>
  </r>
  <r>
    <x v="341"/>
    <s v="eng"/>
    <s v="ENG"/>
    <s v="MF"/>
    <x v="5"/>
    <n v="32"/>
    <n v="1987"/>
    <n v="16"/>
    <n v="15"/>
    <n v="1287"/>
    <x v="0"/>
    <n v="3"/>
    <n v="0"/>
    <n v="0"/>
    <n v="0"/>
    <n v="1"/>
    <n v="0"/>
    <m/>
    <s v="2019-2020"/>
    <n v="40"/>
  </r>
  <r>
    <x v="471"/>
    <s v="eng"/>
    <s v="ENG"/>
    <s v="DF"/>
    <x v="7"/>
    <n v="34"/>
    <n v="1984"/>
    <n v="9"/>
    <n v="8"/>
    <n v="709"/>
    <x v="1"/>
    <n v="0"/>
    <n v="1"/>
    <n v="0"/>
    <n v="0"/>
    <n v="0"/>
    <n v="0"/>
    <m/>
    <s v="2019-2020"/>
    <n v="21"/>
  </r>
  <r>
    <x v="343"/>
    <s v="se"/>
    <s v="SWE"/>
    <s v="DF"/>
    <x v="4"/>
    <n v="26"/>
    <n v="1993"/>
    <n v="15"/>
    <n v="14"/>
    <n v="1271"/>
    <x v="0"/>
    <n v="5"/>
    <n v="0"/>
    <n v="0"/>
    <n v="0"/>
    <n v="0"/>
    <n v="0"/>
    <m/>
    <s v="2019-2020"/>
    <n v="39"/>
  </r>
  <r>
    <x v="137"/>
    <s v="eng"/>
    <s v="ENG"/>
    <s v="MF,FW"/>
    <x v="9"/>
    <n v="26"/>
    <n v="1992"/>
    <n v="14"/>
    <n v="12"/>
    <n v="1037"/>
    <x v="4"/>
    <n v="2"/>
    <n v="5"/>
    <n v="0"/>
    <n v="0"/>
    <n v="0"/>
    <n v="0"/>
    <m/>
    <s v="2019-2020"/>
    <n v="36"/>
  </r>
  <r>
    <x v="139"/>
    <s v="wls"/>
    <s v="WAL"/>
    <s v="MF"/>
    <x v="8"/>
    <n v="26"/>
    <n v="1993"/>
    <n v="14"/>
    <n v="12"/>
    <n v="1112"/>
    <x v="0"/>
    <n v="0"/>
    <n v="0"/>
    <n v="0"/>
    <n v="0"/>
    <n v="4"/>
    <n v="0"/>
    <m/>
    <s v="2019-2020"/>
    <n v="20"/>
  </r>
  <r>
    <x v="472"/>
    <s v="de"/>
    <s v="GER"/>
    <s v="MF,FW"/>
    <x v="0"/>
    <n v="30"/>
    <n v="1989"/>
    <n v="5"/>
    <n v="2"/>
    <n v="207"/>
    <x v="0"/>
    <n v="2"/>
    <n v="0"/>
    <n v="0"/>
    <n v="0"/>
    <n v="0"/>
    <n v="0"/>
    <m/>
    <s v="2019-2020"/>
    <n v="16"/>
  </r>
  <r>
    <x v="344"/>
    <s v="fr"/>
    <s v="FRA"/>
    <s v="GK"/>
    <x v="5"/>
    <n v="30"/>
    <n v="1989"/>
    <n v="1"/>
    <n v="0"/>
    <n v="1"/>
    <x v="0"/>
    <n v="0"/>
    <n v="0"/>
    <n v="0"/>
    <n v="0"/>
    <n v="0"/>
    <n v="0"/>
    <m/>
    <s v="2019-2020"/>
    <n v="40"/>
  </r>
  <r>
    <x v="145"/>
    <s v="eng"/>
    <s v="ENG"/>
    <s v="MF"/>
    <x v="0"/>
    <n v="30"/>
    <n v="1989"/>
    <n v="13"/>
    <n v="11"/>
    <n v="962"/>
    <x v="0"/>
    <n v="2"/>
    <n v="0"/>
    <n v="0"/>
    <n v="0"/>
    <n v="5"/>
    <n v="0"/>
    <m/>
    <s v="2019-2020"/>
    <n v="16"/>
  </r>
  <r>
    <x v="473"/>
    <s v="eng"/>
    <s v="ENG"/>
    <s v="MF,FW"/>
    <x v="10"/>
    <n v="26"/>
    <n v="1992"/>
    <n v="7"/>
    <n v="4"/>
    <n v="387"/>
    <x v="0"/>
    <n v="0"/>
    <n v="0"/>
    <n v="0"/>
    <n v="0"/>
    <n v="0"/>
    <n v="0"/>
    <m/>
    <s v="2019-2020"/>
    <n v="13"/>
  </r>
  <r>
    <x v="474"/>
    <s v="de"/>
    <s v="GER"/>
    <s v="DF"/>
    <x v="0"/>
    <n v="30"/>
    <n v="1989"/>
    <n v="12"/>
    <n v="12"/>
    <n v="1041"/>
    <x v="5"/>
    <n v="0"/>
    <n v="3"/>
    <n v="0"/>
    <n v="0"/>
    <n v="0"/>
    <n v="0"/>
    <m/>
    <s v="2019-2020"/>
    <n v="16"/>
  </r>
  <r>
    <x v="148"/>
    <s v="ie"/>
    <s v="IRL"/>
    <s v="DF"/>
    <x v="9"/>
    <n v="23"/>
    <n v="1995"/>
    <n v="13"/>
    <n v="12"/>
    <n v="1047"/>
    <x v="0"/>
    <n v="1"/>
    <n v="0"/>
    <n v="0"/>
    <n v="0"/>
    <n v="4"/>
    <n v="0"/>
    <m/>
    <s v="2019-2020"/>
    <n v="36"/>
  </r>
  <r>
    <x v="149"/>
    <s v="eng"/>
    <s v="ENG"/>
    <s v="FW,MF"/>
    <x v="13"/>
    <n v="16"/>
    <n v="2002"/>
    <n v="10"/>
    <n v="3"/>
    <n v="266"/>
    <x v="0"/>
    <n v="0"/>
    <n v="0"/>
    <n v="0"/>
    <n v="0"/>
    <n v="0"/>
    <n v="0"/>
    <m/>
    <s v="2019-2020"/>
    <n v="9"/>
  </r>
  <r>
    <x v="151"/>
    <s v="eng"/>
    <s v="ENG"/>
    <s v="MF"/>
    <x v="3"/>
    <n v="23"/>
    <n v="1996"/>
    <n v="14"/>
    <n v="13"/>
    <n v="1147"/>
    <x v="4"/>
    <n v="2"/>
    <n v="1"/>
    <n v="4"/>
    <n v="4"/>
    <n v="4"/>
    <n v="0"/>
    <m/>
    <s v="2019-2020"/>
    <n v="23"/>
  </r>
  <r>
    <x v="154"/>
    <s v="wls"/>
    <s v="WAL"/>
    <s v="FW,MF"/>
    <x v="10"/>
    <n v="31"/>
    <n v="1988"/>
    <n v="16"/>
    <n v="14"/>
    <n v="1262"/>
    <x v="2"/>
    <n v="2"/>
    <n v="1"/>
    <n v="1"/>
    <n v="1"/>
    <n v="3"/>
    <n v="0"/>
    <m/>
    <s v="2019-2020"/>
    <n v="13"/>
  </r>
  <r>
    <x v="346"/>
    <s v="eng"/>
    <s v="ENG"/>
    <s v="MF"/>
    <x v="5"/>
    <n v="22"/>
    <n v="1997"/>
    <n v="14"/>
    <n v="14"/>
    <n v="1260"/>
    <x v="2"/>
    <n v="4"/>
    <n v="2"/>
    <n v="0"/>
    <n v="0"/>
    <n v="0"/>
    <n v="0"/>
    <m/>
    <s v="2019-2020"/>
    <n v="40"/>
  </r>
  <r>
    <x v="156"/>
    <s v="fr"/>
    <s v="FRA"/>
    <s v="MF,FW"/>
    <x v="0"/>
    <n v="28"/>
    <n v="1991"/>
    <n v="14"/>
    <n v="12"/>
    <n v="1169"/>
    <x v="2"/>
    <n v="3"/>
    <n v="1"/>
    <n v="1"/>
    <n v="1"/>
    <n v="2"/>
    <n v="0"/>
    <m/>
    <s v="2019-2020"/>
    <n v="16"/>
  </r>
  <r>
    <x v="159"/>
    <s v="eng"/>
    <s v="ENG"/>
    <s v="DF"/>
    <x v="12"/>
    <n v="28"/>
    <n v="1990"/>
    <n v="7"/>
    <n v="6"/>
    <n v="556"/>
    <x v="1"/>
    <n v="0"/>
    <n v="1"/>
    <n v="0"/>
    <n v="0"/>
    <n v="2"/>
    <n v="0"/>
    <m/>
    <s v="2019-2020"/>
    <n v="7"/>
  </r>
  <r>
    <x v="475"/>
    <s v="nl"/>
    <s v="NED"/>
    <s v="DF"/>
    <x v="2"/>
    <n v="27"/>
    <n v="1991"/>
    <n v="10"/>
    <n v="8"/>
    <n v="635"/>
    <x v="0"/>
    <n v="0"/>
    <n v="0"/>
    <n v="0"/>
    <n v="0"/>
    <n v="0"/>
    <n v="0"/>
    <m/>
    <s v="2019-2020"/>
    <n v="19"/>
  </r>
  <r>
    <x v="162"/>
    <s v="sct"/>
    <s v="SCO"/>
    <s v="MF"/>
    <x v="9"/>
    <n v="29"/>
    <n v="1990"/>
    <n v="12"/>
    <n v="12"/>
    <n v="1055"/>
    <x v="4"/>
    <n v="2"/>
    <n v="4"/>
    <n v="1"/>
    <n v="1"/>
    <n v="0"/>
    <n v="0"/>
    <m/>
    <s v="2019-2020"/>
    <n v="36"/>
  </r>
  <r>
    <x v="476"/>
    <s v="sct"/>
    <s v="SCO"/>
    <s v="FW"/>
    <x v="13"/>
    <n v="23"/>
    <n v="1995"/>
    <n v="1"/>
    <n v="0"/>
    <n v="1"/>
    <x v="0"/>
    <n v="0"/>
    <n v="0"/>
    <n v="0"/>
    <n v="0"/>
    <n v="0"/>
    <n v="0"/>
    <m/>
    <s v="2019-2020"/>
    <n v="9"/>
  </r>
  <r>
    <x v="426"/>
    <s v="eng"/>
    <s v="ENG"/>
    <s v="DF"/>
    <x v="10"/>
    <n v="27"/>
    <n v="1992"/>
    <n v="10"/>
    <n v="10"/>
    <n v="899"/>
    <x v="0"/>
    <n v="0"/>
    <n v="0"/>
    <n v="0"/>
    <n v="0"/>
    <n v="2"/>
    <n v="0"/>
    <m/>
    <s v="2019-2020"/>
    <n v="13"/>
  </r>
  <r>
    <x v="164"/>
    <s v="sct"/>
    <s v="SCO"/>
    <s v="FW"/>
    <x v="3"/>
    <n v="21"/>
    <n v="1998"/>
    <n v="11"/>
    <n v="6"/>
    <n v="498"/>
    <x v="5"/>
    <n v="1"/>
    <n v="3"/>
    <n v="0"/>
    <n v="0"/>
    <n v="0"/>
    <n v="0"/>
    <m/>
    <s v="2019-2020"/>
    <n v="23"/>
  </r>
  <r>
    <x v="477"/>
    <s v="eng"/>
    <s v="ENG"/>
    <s v="MF,FW"/>
    <x v="11"/>
    <n v="25"/>
    <n v="1993"/>
    <n v="11"/>
    <n v="8"/>
    <n v="622"/>
    <x v="0"/>
    <n v="0"/>
    <n v="0"/>
    <n v="0"/>
    <n v="0"/>
    <n v="2"/>
    <n v="0"/>
    <m/>
    <s v="2019-2020"/>
    <n v="6"/>
  </r>
  <r>
    <x v="165"/>
    <s v="sct"/>
    <s v="SCO"/>
    <s v="DF"/>
    <x v="3"/>
    <n v="25"/>
    <n v="1994"/>
    <n v="8"/>
    <n v="7"/>
    <n v="632"/>
    <x v="0"/>
    <n v="0"/>
    <n v="0"/>
    <n v="0"/>
    <n v="0"/>
    <n v="2"/>
    <n v="0"/>
    <m/>
    <s v="2019-2020"/>
    <n v="23"/>
  </r>
  <r>
    <x v="166"/>
    <s v="eng"/>
    <s v="ENG"/>
    <s v="FW,MF"/>
    <x v="8"/>
    <n v="23"/>
    <n v="1995"/>
    <n v="14"/>
    <n v="12"/>
    <n v="1077"/>
    <x v="5"/>
    <n v="1"/>
    <n v="3"/>
    <n v="0"/>
    <n v="0"/>
    <n v="1"/>
    <n v="0"/>
    <m/>
    <s v="2019-2020"/>
    <n v="20"/>
  </r>
  <r>
    <x v="427"/>
    <s v="no"/>
    <s v="NOR"/>
    <s v="DF"/>
    <x v="7"/>
    <n v="23"/>
    <n v="1996"/>
    <n v="11"/>
    <n v="11"/>
    <n v="990"/>
    <x v="1"/>
    <n v="2"/>
    <n v="1"/>
    <n v="0"/>
    <n v="0"/>
    <n v="1"/>
    <n v="0"/>
    <m/>
    <s v="2019-2020"/>
    <n v="21"/>
  </r>
  <r>
    <x v="169"/>
    <s v="eng"/>
    <s v="ENG"/>
    <s v="FW"/>
    <x v="12"/>
    <n v="15"/>
    <n v="2003"/>
    <n v="1"/>
    <n v="0"/>
    <n v="4"/>
    <x v="0"/>
    <n v="0"/>
    <n v="0"/>
    <n v="0"/>
    <n v="0"/>
    <n v="0"/>
    <n v="0"/>
    <m/>
    <s v="2019-2020"/>
    <n v="7"/>
  </r>
  <r>
    <x v="170"/>
    <s v="eng"/>
    <s v="ENG"/>
    <s v="MF,FW"/>
    <x v="5"/>
    <n v="28"/>
    <n v="1991"/>
    <n v="4"/>
    <n v="1"/>
    <n v="104"/>
    <x v="0"/>
    <n v="0"/>
    <n v="0"/>
    <n v="0"/>
    <n v="0"/>
    <n v="0"/>
    <n v="0"/>
    <m/>
    <s v="2019-2020"/>
    <n v="40"/>
  </r>
  <r>
    <x v="429"/>
    <s v="de"/>
    <s v="GER"/>
    <s v="DF"/>
    <x v="0"/>
    <n v="27"/>
    <n v="1992"/>
    <n v="13"/>
    <n v="13"/>
    <n v="1139"/>
    <x v="1"/>
    <n v="0"/>
    <n v="1"/>
    <n v="0"/>
    <n v="0"/>
    <n v="1"/>
    <n v="0"/>
    <m/>
    <s v="2019-2020"/>
    <n v="16"/>
  </r>
  <r>
    <x v="172"/>
    <s v="eng"/>
    <s v="ENG"/>
    <s v="MF,FW"/>
    <x v="5"/>
    <n v="18"/>
    <n v="2000"/>
    <n v="14"/>
    <n v="13"/>
    <n v="1134"/>
    <x v="4"/>
    <n v="5"/>
    <n v="5"/>
    <n v="0"/>
    <n v="0"/>
    <n v="2"/>
    <n v="0"/>
    <m/>
    <s v="2019-2020"/>
    <n v="40"/>
  </r>
  <r>
    <x v="173"/>
    <s v="eng"/>
    <s v="ENG"/>
    <s v="FW"/>
    <x v="3"/>
    <n v="17"/>
    <n v="2001"/>
    <n v="12"/>
    <n v="9"/>
    <n v="796"/>
    <x v="7"/>
    <n v="0"/>
    <n v="6"/>
    <n v="0"/>
    <n v="0"/>
    <n v="6"/>
    <n v="1"/>
    <m/>
    <s v="2019-2020"/>
    <n v="23"/>
  </r>
  <r>
    <x v="478"/>
    <s v="fr"/>
    <s v="FRA"/>
    <s v="FW,MF"/>
    <x v="10"/>
    <n v="26"/>
    <n v="1993"/>
    <n v="15"/>
    <n v="14"/>
    <n v="1176"/>
    <x v="1"/>
    <n v="2"/>
    <n v="1"/>
    <n v="0"/>
    <n v="0"/>
    <n v="3"/>
    <n v="1"/>
    <m/>
    <s v="2019-2020"/>
    <n v="13"/>
  </r>
  <r>
    <x v="175"/>
    <s v="eng"/>
    <s v="ENG"/>
    <s v="FW"/>
    <x v="3"/>
    <n v="25"/>
    <n v="1994"/>
    <n v="12"/>
    <n v="12"/>
    <n v="1028"/>
    <x v="8"/>
    <n v="3"/>
    <n v="4"/>
    <n v="0"/>
    <n v="0"/>
    <n v="0"/>
    <n v="0"/>
    <m/>
    <s v="2019-2020"/>
    <n v="23"/>
  </r>
  <r>
    <x v="176"/>
    <s v="eng"/>
    <s v="ENG"/>
    <s v="DF,MF"/>
    <x v="9"/>
    <n v="22"/>
    <n v="1997"/>
    <n v="15"/>
    <n v="15"/>
    <n v="1290"/>
    <x v="1"/>
    <n v="2"/>
    <n v="1"/>
    <n v="0"/>
    <n v="0"/>
    <n v="0"/>
    <n v="0"/>
    <m/>
    <s v="2019-2020"/>
    <n v="36"/>
  </r>
  <r>
    <x v="177"/>
    <s v="ie"/>
    <s v="IRL"/>
    <s v="FW,MF"/>
    <x v="0"/>
    <n v="20"/>
    <n v="1999"/>
    <n v="9"/>
    <n v="7"/>
    <n v="522"/>
    <x v="1"/>
    <n v="0"/>
    <n v="1"/>
    <n v="0"/>
    <n v="0"/>
    <n v="3"/>
    <n v="1"/>
    <m/>
    <s v="2019-2020"/>
    <n v="16"/>
  </r>
  <r>
    <x v="178"/>
    <s v="kr"/>
    <s v="KOR"/>
    <s v="MF,FW"/>
    <x v="5"/>
    <n v="25"/>
    <n v="1994"/>
    <n v="3"/>
    <n v="0"/>
    <n v="44"/>
    <x v="1"/>
    <n v="0"/>
    <n v="1"/>
    <n v="0"/>
    <n v="0"/>
    <n v="0"/>
    <n v="0"/>
    <m/>
    <s v="2019-2020"/>
    <n v="40"/>
  </r>
  <r>
    <x v="179"/>
    <s v="eng"/>
    <s v="ENG"/>
    <s v="DF"/>
    <x v="11"/>
    <n v="25"/>
    <n v="1993"/>
    <n v="14"/>
    <n v="14"/>
    <n v="1260"/>
    <x v="0"/>
    <n v="0"/>
    <n v="0"/>
    <n v="0"/>
    <n v="0"/>
    <n v="4"/>
    <n v="0"/>
    <m/>
    <s v="2019-2020"/>
    <n v="6"/>
  </r>
  <r>
    <x v="182"/>
    <s v="de"/>
    <s v="GER"/>
    <s v="DF"/>
    <x v="9"/>
    <n v="26"/>
    <n v="1992"/>
    <n v="13"/>
    <n v="6"/>
    <n v="686"/>
    <x v="0"/>
    <n v="2"/>
    <n v="0"/>
    <n v="0"/>
    <n v="0"/>
    <n v="1"/>
    <n v="0"/>
    <m/>
    <s v="2019-2020"/>
    <n v="36"/>
  </r>
  <r>
    <x v="183"/>
    <s v="ch"/>
    <s v="SUI"/>
    <s v="MF"/>
    <x v="9"/>
    <n v="26"/>
    <n v="1993"/>
    <n v="10"/>
    <n v="9"/>
    <n v="794"/>
    <x v="0"/>
    <n v="1"/>
    <n v="0"/>
    <n v="0"/>
    <n v="0"/>
    <n v="1"/>
    <n v="0"/>
    <m/>
    <s v="2019-2020"/>
    <n v="36"/>
  </r>
  <r>
    <x v="479"/>
    <s v="eng"/>
    <s v="ENG"/>
    <s v="DF"/>
    <x v="12"/>
    <n v="15"/>
    <n v="2003"/>
    <n v="6"/>
    <n v="4"/>
    <n v="415"/>
    <x v="0"/>
    <n v="0"/>
    <n v="0"/>
    <n v="0"/>
    <n v="0"/>
    <n v="0"/>
    <n v="0"/>
    <m/>
    <s v="2019-2020"/>
    <n v="7"/>
  </r>
  <r>
    <x v="187"/>
    <s v="sct"/>
    <s v="SCO"/>
    <s v="FW,DF"/>
    <x v="9"/>
    <n v="27"/>
    <n v="1992"/>
    <n v="15"/>
    <n v="14"/>
    <n v="1266"/>
    <x v="2"/>
    <n v="4"/>
    <n v="2"/>
    <n v="0"/>
    <n v="0"/>
    <n v="0"/>
    <n v="0"/>
    <m/>
    <s v="2019-2020"/>
    <n v="36"/>
  </r>
  <r>
    <x v="480"/>
    <s v="no"/>
    <s v="NOR"/>
    <s v="FW,MF"/>
    <x v="7"/>
    <n v="26"/>
    <n v="1992"/>
    <n v="10"/>
    <n v="3"/>
    <n v="357"/>
    <x v="1"/>
    <n v="0"/>
    <n v="1"/>
    <n v="0"/>
    <n v="0"/>
    <n v="2"/>
    <n v="0"/>
    <m/>
    <s v="2019-2020"/>
    <n v="21"/>
  </r>
  <r>
    <x v="481"/>
    <s v="sct"/>
    <s v="SCO"/>
    <s v="FW,MF"/>
    <x v="3"/>
    <n v="23"/>
    <n v="1996"/>
    <n v="4"/>
    <n v="0"/>
    <n v="88"/>
    <x v="0"/>
    <n v="0"/>
    <n v="0"/>
    <n v="0"/>
    <n v="0"/>
    <n v="0"/>
    <n v="0"/>
    <m/>
    <s v="2019-2020"/>
    <n v="23"/>
  </r>
  <r>
    <x v="482"/>
    <s v="wls"/>
    <s v="WAL"/>
    <s v="DF"/>
    <x v="13"/>
    <n v="31"/>
    <n v="1988"/>
    <n v="11"/>
    <n v="10"/>
    <n v="841"/>
    <x v="0"/>
    <n v="0"/>
    <n v="0"/>
    <n v="0"/>
    <n v="0"/>
    <n v="0"/>
    <n v="0"/>
    <m/>
    <s v="2019-2020"/>
    <n v="9"/>
  </r>
  <r>
    <x v="432"/>
    <s v="se"/>
    <s v="SWE"/>
    <s v="DF"/>
    <x v="3"/>
    <n v="22"/>
    <n v="1997"/>
    <n v="3"/>
    <n v="3"/>
    <n v="190"/>
    <x v="0"/>
    <n v="0"/>
    <n v="0"/>
    <n v="0"/>
    <n v="0"/>
    <n v="0"/>
    <n v="0"/>
    <m/>
    <s v="2019-2020"/>
    <n v="23"/>
  </r>
  <r>
    <x v="352"/>
    <s v="ie"/>
    <s v="IRL"/>
    <s v="DF"/>
    <x v="9"/>
    <n v="29"/>
    <n v="1990"/>
    <n v="6"/>
    <n v="3"/>
    <n v="264"/>
    <x v="0"/>
    <n v="0"/>
    <n v="0"/>
    <n v="0"/>
    <n v="0"/>
    <n v="0"/>
    <n v="0"/>
    <m/>
    <s v="2019-2020"/>
    <n v="36"/>
  </r>
  <r>
    <x v="433"/>
    <s v="do"/>
    <s v="DOM"/>
    <s v="DF,FW"/>
    <x v="8"/>
    <n v="21"/>
    <n v="1997"/>
    <n v="5"/>
    <n v="1"/>
    <n v="148"/>
    <x v="0"/>
    <n v="0"/>
    <n v="0"/>
    <n v="0"/>
    <n v="0"/>
    <n v="2"/>
    <n v="0"/>
    <m/>
    <s v="2019-2020"/>
    <n v="20"/>
  </r>
  <r>
    <x v="191"/>
    <s v="sct"/>
    <s v="SCO"/>
    <s v="MF"/>
    <x v="2"/>
    <n v="22"/>
    <n v="1996"/>
    <n v="14"/>
    <n v="14"/>
    <n v="1233"/>
    <x v="8"/>
    <n v="2"/>
    <n v="3"/>
    <n v="1"/>
    <n v="1"/>
    <n v="2"/>
    <n v="0"/>
    <m/>
    <s v="2019-2020"/>
    <n v="19"/>
  </r>
  <r>
    <x v="355"/>
    <s v="ie"/>
    <s v="IRL"/>
    <s v="MF,FW"/>
    <x v="8"/>
    <n v="25"/>
    <n v="1993"/>
    <n v="15"/>
    <n v="5"/>
    <n v="533"/>
    <x v="2"/>
    <n v="0"/>
    <n v="2"/>
    <n v="0"/>
    <n v="0"/>
    <n v="0"/>
    <n v="0"/>
    <m/>
    <s v="2019-2020"/>
    <n v="20"/>
  </r>
  <r>
    <x v="193"/>
    <s v="eng"/>
    <s v="ENG"/>
    <s v="MF"/>
    <x v="12"/>
    <n v="26"/>
    <n v="1992"/>
    <n v="10"/>
    <n v="10"/>
    <n v="900"/>
    <x v="1"/>
    <n v="3"/>
    <n v="1"/>
    <n v="0"/>
    <n v="0"/>
    <n v="1"/>
    <n v="0"/>
    <m/>
    <s v="2019-2020"/>
    <n v="7"/>
  </r>
  <r>
    <x v="356"/>
    <s v="eng"/>
    <s v="ENG"/>
    <s v="MF,FW"/>
    <x v="12"/>
    <n v="23"/>
    <n v="1995"/>
    <n v="13"/>
    <n v="11"/>
    <n v="947"/>
    <x v="1"/>
    <n v="0"/>
    <n v="1"/>
    <n v="0"/>
    <n v="0"/>
    <n v="0"/>
    <n v="0"/>
    <m/>
    <s v="2019-2020"/>
    <n v="7"/>
  </r>
  <r>
    <x v="357"/>
    <s v="fr"/>
    <s v="FRA"/>
    <s v="MF"/>
    <x v="2"/>
    <n v="26"/>
    <n v="1992"/>
    <n v="13"/>
    <n v="11"/>
    <n v="982"/>
    <x v="0"/>
    <n v="0"/>
    <n v="0"/>
    <n v="0"/>
    <n v="0"/>
    <n v="4"/>
    <n v="0"/>
    <m/>
    <s v="2019-2020"/>
    <n v="19"/>
  </r>
  <r>
    <x v="199"/>
    <s v="se"/>
    <s v="SWE"/>
    <s v="DF"/>
    <x v="4"/>
    <n v="25"/>
    <n v="1993"/>
    <n v="14"/>
    <n v="14"/>
    <n v="1260"/>
    <x v="1"/>
    <n v="0"/>
    <n v="1"/>
    <n v="0"/>
    <n v="0"/>
    <n v="1"/>
    <n v="0"/>
    <m/>
    <s v="2019-2020"/>
    <n v="39"/>
  </r>
  <r>
    <x v="483"/>
    <s v="eng"/>
    <s v="ENG"/>
    <s v="DF"/>
    <x v="13"/>
    <n v="19"/>
    <n v="2000"/>
    <n v="1"/>
    <n v="0"/>
    <n v="34"/>
    <x v="0"/>
    <n v="0"/>
    <n v="0"/>
    <n v="0"/>
    <n v="0"/>
    <n v="0"/>
    <n v="0"/>
    <m/>
    <s v="2019-2020"/>
    <n v="9"/>
  </r>
  <r>
    <x v="202"/>
    <s v="at"/>
    <s v="AUT"/>
    <s v="GK"/>
    <x v="9"/>
    <n v="23"/>
    <n v="1995"/>
    <n v="12"/>
    <n v="12"/>
    <n v="1080"/>
    <x v="0"/>
    <n v="0"/>
    <n v="0"/>
    <n v="0"/>
    <n v="0"/>
    <n v="1"/>
    <n v="0"/>
    <m/>
    <s v="2019-2020"/>
    <n v="36"/>
  </r>
  <r>
    <x v="203"/>
    <s v="no"/>
    <s v="NOR"/>
    <s v="DF,MF"/>
    <x v="4"/>
    <n v="29"/>
    <n v="1989"/>
    <n v="14"/>
    <n v="14"/>
    <n v="1258"/>
    <x v="8"/>
    <n v="1"/>
    <n v="3"/>
    <n v="1"/>
    <n v="1"/>
    <n v="1"/>
    <n v="0"/>
    <m/>
    <s v="2019-2020"/>
    <n v="39"/>
  </r>
  <r>
    <x v="204"/>
    <s v="no"/>
    <s v="NOR"/>
    <s v="MF"/>
    <x v="4"/>
    <n v="26"/>
    <n v="1993"/>
    <n v="5"/>
    <n v="0"/>
    <n v="76"/>
    <x v="1"/>
    <n v="0"/>
    <n v="1"/>
    <n v="0"/>
    <n v="0"/>
    <n v="0"/>
    <n v="0"/>
    <m/>
    <s v="2019-2020"/>
    <n v="39"/>
  </r>
  <r>
    <x v="360"/>
    <s v="eng"/>
    <s v="ENG"/>
    <s v="DF"/>
    <x v="3"/>
    <n v="24"/>
    <n v="1994"/>
    <n v="11"/>
    <n v="9"/>
    <n v="835"/>
    <x v="0"/>
    <n v="0"/>
    <n v="0"/>
    <n v="0"/>
    <n v="0"/>
    <n v="0"/>
    <n v="0"/>
    <m/>
    <s v="2019-2020"/>
    <n v="23"/>
  </r>
  <r>
    <x v="205"/>
    <s v="sct"/>
    <s v="SCO"/>
    <s v="FW"/>
    <x v="0"/>
    <n v="23"/>
    <n v="1996"/>
    <n v="10"/>
    <n v="10"/>
    <n v="886"/>
    <x v="8"/>
    <n v="1"/>
    <n v="4"/>
    <n v="0"/>
    <n v="0"/>
    <n v="1"/>
    <n v="0"/>
    <m/>
    <s v="2019-2020"/>
    <n v="16"/>
  </r>
  <r>
    <x v="206"/>
    <s v="eng"/>
    <s v="ENG"/>
    <s v="GK"/>
    <x v="3"/>
    <n v="26"/>
    <n v="1993"/>
    <n v="14"/>
    <n v="14"/>
    <n v="1260"/>
    <x v="0"/>
    <n v="0"/>
    <n v="0"/>
    <n v="0"/>
    <n v="0"/>
    <n v="0"/>
    <n v="0"/>
    <m/>
    <s v="2019-2020"/>
    <n v="23"/>
  </r>
  <r>
    <x v="484"/>
    <s v="pt"/>
    <s v="POR"/>
    <s v="DF"/>
    <x v="5"/>
    <n v="25"/>
    <n v="1994"/>
    <n v="2"/>
    <n v="1"/>
    <n v="64"/>
    <x v="0"/>
    <n v="0"/>
    <n v="0"/>
    <n v="0"/>
    <n v="0"/>
    <n v="0"/>
    <n v="0"/>
    <m/>
    <s v="2019-2020"/>
    <n v="40"/>
  </r>
  <r>
    <x v="485"/>
    <s v="dk"/>
    <s v="DEN"/>
    <s v="DF,MF"/>
    <x v="10"/>
    <n v="20"/>
    <n v="1999"/>
    <n v="8"/>
    <n v="6"/>
    <n v="593"/>
    <x v="0"/>
    <n v="0"/>
    <n v="0"/>
    <n v="0"/>
    <n v="0"/>
    <n v="3"/>
    <n v="0"/>
    <m/>
    <s v="2019-2020"/>
    <n v="13"/>
  </r>
  <r>
    <x v="208"/>
    <s v="eng"/>
    <s v="ENG"/>
    <s v="DF,MF"/>
    <x v="10"/>
    <n v="17"/>
    <n v="2002"/>
    <n v="12"/>
    <n v="7"/>
    <n v="788"/>
    <x v="0"/>
    <n v="0"/>
    <n v="0"/>
    <n v="0"/>
    <n v="0"/>
    <n v="0"/>
    <n v="0"/>
    <m/>
    <s v="2019-2020"/>
    <n v="13"/>
  </r>
  <r>
    <x v="209"/>
    <s v="eng"/>
    <s v="ENG"/>
    <s v="DF"/>
    <x v="7"/>
    <n v="20"/>
    <n v="1998"/>
    <n v="9"/>
    <n v="7"/>
    <n v="680"/>
    <x v="0"/>
    <n v="0"/>
    <n v="0"/>
    <n v="0"/>
    <n v="0"/>
    <n v="1"/>
    <n v="0"/>
    <m/>
    <s v="2019-2020"/>
    <n v="21"/>
  </r>
  <r>
    <x v="361"/>
    <s v="eng"/>
    <s v="ENG"/>
    <s v="DF"/>
    <x v="13"/>
    <n v="25"/>
    <n v="1994"/>
    <n v="12"/>
    <n v="12"/>
    <n v="1052"/>
    <x v="0"/>
    <n v="0"/>
    <n v="0"/>
    <n v="0"/>
    <n v="0"/>
    <n v="0"/>
    <n v="0"/>
    <m/>
    <s v="2019-2020"/>
    <n v="9"/>
  </r>
  <r>
    <x v="210"/>
    <s v="ie"/>
    <s v="IRL"/>
    <s v="DF"/>
    <x v="5"/>
    <n v="26"/>
    <n v="1993"/>
    <n v="7"/>
    <n v="3"/>
    <n v="335"/>
    <x v="0"/>
    <n v="0"/>
    <n v="0"/>
    <n v="0"/>
    <n v="0"/>
    <n v="0"/>
    <n v="0"/>
    <m/>
    <s v="2019-2020"/>
    <n v="40"/>
  </r>
  <r>
    <x v="211"/>
    <s v="ie"/>
    <s v="IRL"/>
    <s v="MF"/>
    <x v="10"/>
    <n v="22"/>
    <n v="1997"/>
    <n v="9"/>
    <n v="6"/>
    <n v="601"/>
    <x v="1"/>
    <n v="1"/>
    <n v="1"/>
    <n v="0"/>
    <n v="0"/>
    <n v="0"/>
    <n v="0"/>
    <m/>
    <s v="2019-2020"/>
    <n v="13"/>
  </r>
  <r>
    <x v="212"/>
    <s v="eng"/>
    <s v="ENG"/>
    <s v="DF"/>
    <x v="2"/>
    <n v="21"/>
    <n v="1998"/>
    <n v="10"/>
    <n v="10"/>
    <n v="900"/>
    <x v="0"/>
    <n v="0"/>
    <n v="0"/>
    <n v="0"/>
    <n v="0"/>
    <n v="0"/>
    <n v="0"/>
    <m/>
    <s v="2019-2020"/>
    <n v="19"/>
  </r>
  <r>
    <x v="213"/>
    <s v="ie"/>
    <s v="IRL"/>
    <s v="GK"/>
    <x v="10"/>
    <n v="24"/>
    <n v="1994"/>
    <n v="15"/>
    <n v="15"/>
    <n v="1350"/>
    <x v="0"/>
    <n v="0"/>
    <n v="0"/>
    <n v="0"/>
    <n v="0"/>
    <n v="0"/>
    <n v="0"/>
    <m/>
    <s v="2019-2020"/>
    <n v="13"/>
  </r>
  <r>
    <x v="486"/>
    <s v="wls"/>
    <s v="WAL"/>
    <s v="FW,MF"/>
    <x v="13"/>
    <n v="26"/>
    <n v="1993"/>
    <n v="3"/>
    <n v="0"/>
    <n v="123"/>
    <x v="0"/>
    <n v="0"/>
    <n v="0"/>
    <n v="0"/>
    <n v="0"/>
    <n v="0"/>
    <n v="0"/>
    <m/>
    <s v="2019-2020"/>
    <n v="9"/>
  </r>
  <r>
    <x v="486"/>
    <s v="wls"/>
    <s v="WAL"/>
    <s v="DF,FW"/>
    <x v="8"/>
    <n v="26"/>
    <n v="1993"/>
    <n v="3"/>
    <n v="0"/>
    <n v="15"/>
    <x v="0"/>
    <n v="0"/>
    <n v="0"/>
    <n v="0"/>
    <n v="0"/>
    <n v="0"/>
    <n v="0"/>
    <m/>
    <s v="2019-2020"/>
    <n v="20"/>
  </r>
  <r>
    <x v="215"/>
    <s v="eng"/>
    <s v="ENG"/>
    <s v="FW"/>
    <x v="9"/>
    <n v="17"/>
    <n v="2002"/>
    <n v="1"/>
    <n v="0"/>
    <n v="2"/>
    <x v="0"/>
    <n v="0"/>
    <n v="0"/>
    <n v="0"/>
    <n v="0"/>
    <n v="0"/>
    <n v="0"/>
    <m/>
    <s v="2019-2020"/>
    <n v="36"/>
  </r>
  <r>
    <x v="216"/>
    <s v="eng"/>
    <s v="ENG"/>
    <s v="FW,MF"/>
    <x v="11"/>
    <n v="25"/>
    <n v="1994"/>
    <n v="14"/>
    <n v="14"/>
    <n v="1209"/>
    <x v="1"/>
    <n v="0"/>
    <n v="0"/>
    <n v="1"/>
    <n v="2"/>
    <n v="3"/>
    <n v="0"/>
    <m/>
    <s v="2019-2020"/>
    <n v="6"/>
  </r>
  <r>
    <x v="218"/>
    <s v="eng"/>
    <s v="ENG"/>
    <s v="DF"/>
    <x v="4"/>
    <n v="25"/>
    <n v="1993"/>
    <n v="15"/>
    <n v="15"/>
    <n v="1350"/>
    <x v="1"/>
    <n v="1"/>
    <n v="1"/>
    <n v="0"/>
    <n v="0"/>
    <n v="2"/>
    <n v="0"/>
    <m/>
    <s v="2019-2020"/>
    <n v="39"/>
  </r>
  <r>
    <x v="487"/>
    <s v="eng"/>
    <s v="ENG"/>
    <s v="FW"/>
    <x v="7"/>
    <n v="23"/>
    <n v="1996"/>
    <n v="9"/>
    <n v="3"/>
    <n v="271"/>
    <x v="0"/>
    <n v="0"/>
    <n v="0"/>
    <n v="0"/>
    <n v="0"/>
    <n v="1"/>
    <n v="0"/>
    <m/>
    <s v="2019-2020"/>
    <n v="21"/>
  </r>
  <r>
    <x v="219"/>
    <s v="eng"/>
    <s v="ENG"/>
    <s v="DF"/>
    <x v="3"/>
    <n v="23"/>
    <n v="1996"/>
    <n v="14"/>
    <n v="14"/>
    <n v="1249"/>
    <x v="0"/>
    <n v="0"/>
    <n v="0"/>
    <n v="0"/>
    <n v="0"/>
    <n v="1"/>
    <n v="0"/>
    <m/>
    <s v="2019-2020"/>
    <n v="23"/>
  </r>
  <r>
    <x v="223"/>
    <s v="eng"/>
    <s v="ENG"/>
    <s v="DF"/>
    <x v="7"/>
    <n v="23"/>
    <n v="1996"/>
    <n v="4"/>
    <n v="2"/>
    <n v="245"/>
    <x v="0"/>
    <n v="0"/>
    <n v="0"/>
    <n v="0"/>
    <n v="0"/>
    <n v="1"/>
    <n v="0"/>
    <m/>
    <s v="2019-2020"/>
    <n v="21"/>
  </r>
  <r>
    <x v="224"/>
    <s v="eng"/>
    <s v="ENG"/>
    <s v="MF"/>
    <x v="2"/>
    <n v="18"/>
    <n v="2001"/>
    <n v="13"/>
    <n v="7"/>
    <n v="563"/>
    <x v="1"/>
    <n v="3"/>
    <n v="1"/>
    <n v="0"/>
    <n v="0"/>
    <n v="0"/>
    <n v="0"/>
    <m/>
    <s v="2019-2020"/>
    <n v="19"/>
  </r>
  <r>
    <x v="228"/>
    <s v="wls"/>
    <s v="WAL"/>
    <s v="DF,FW"/>
    <x v="7"/>
    <n v="30"/>
    <n v="1989"/>
    <n v="8"/>
    <n v="6"/>
    <n v="570"/>
    <x v="0"/>
    <n v="0"/>
    <n v="0"/>
    <n v="0"/>
    <n v="0"/>
    <n v="0"/>
    <n v="0"/>
    <m/>
    <s v="2019-2020"/>
    <n v="21"/>
  </r>
  <r>
    <x v="230"/>
    <s v="eng"/>
    <s v="ENG"/>
    <s v="FW,MF"/>
    <x v="11"/>
    <n v="20"/>
    <n v="1999"/>
    <n v="13"/>
    <n v="13"/>
    <n v="1064"/>
    <x v="2"/>
    <n v="0"/>
    <n v="2"/>
    <n v="0"/>
    <n v="0"/>
    <n v="0"/>
    <n v="0"/>
    <m/>
    <s v="2019-2020"/>
    <n v="6"/>
  </r>
  <r>
    <x v="231"/>
    <s v="ie"/>
    <s v="IRL"/>
    <s v="DF"/>
    <x v="11"/>
    <n v="31"/>
    <n v="1987"/>
    <n v="13"/>
    <n v="13"/>
    <n v="1144"/>
    <x v="0"/>
    <n v="0"/>
    <n v="0"/>
    <n v="0"/>
    <n v="0"/>
    <n v="1"/>
    <n v="1"/>
    <m/>
    <s v="2019-2020"/>
    <n v="6"/>
  </r>
  <r>
    <x v="488"/>
    <s v="nz"/>
    <s v="NZL"/>
    <s v="MF"/>
    <x v="13"/>
    <n v="25"/>
    <n v="1993"/>
    <n v="14"/>
    <n v="10"/>
    <n v="1021"/>
    <x v="0"/>
    <n v="0"/>
    <n v="0"/>
    <n v="0"/>
    <n v="0"/>
    <n v="1"/>
    <n v="0"/>
    <m/>
    <s v="2019-2020"/>
    <n v="9"/>
  </r>
  <r>
    <x v="489"/>
    <s v="de"/>
    <s v="GER"/>
    <s v="FW"/>
    <x v="5"/>
    <n v="23"/>
    <n v="1996"/>
    <n v="12"/>
    <n v="6"/>
    <n v="578"/>
    <x v="3"/>
    <n v="0"/>
    <n v="10"/>
    <n v="0"/>
    <n v="0"/>
    <n v="0"/>
    <n v="0"/>
    <m/>
    <s v="2019-2020"/>
    <n v="40"/>
  </r>
  <r>
    <x v="490"/>
    <s v="fr"/>
    <s v="FRA"/>
    <s v="GK"/>
    <x v="9"/>
    <n v="27"/>
    <n v="1992"/>
    <n v="3"/>
    <n v="3"/>
    <n v="270"/>
    <x v="0"/>
    <n v="0"/>
    <n v="0"/>
    <n v="0"/>
    <n v="0"/>
    <n v="0"/>
    <n v="0"/>
    <m/>
    <s v="2019-2020"/>
    <n v="36"/>
  </r>
  <r>
    <x v="240"/>
    <s v="eng"/>
    <s v="ENG"/>
    <s v="DF"/>
    <x v="13"/>
    <n v="19"/>
    <n v="2000"/>
    <n v="6"/>
    <n v="6"/>
    <n v="528"/>
    <x v="0"/>
    <n v="0"/>
    <n v="0"/>
    <n v="0"/>
    <n v="0"/>
    <n v="2"/>
    <n v="0"/>
    <m/>
    <s v="2019-2020"/>
    <n v="9"/>
  </r>
  <r>
    <x v="242"/>
    <s v="eng"/>
    <s v="ENG"/>
    <s v="GK"/>
    <x v="7"/>
    <n v="28"/>
    <n v="1990"/>
    <n v="5"/>
    <n v="4"/>
    <n v="431"/>
    <x v="0"/>
    <n v="0"/>
    <n v="0"/>
    <n v="0"/>
    <n v="0"/>
    <n v="1"/>
    <n v="0"/>
    <m/>
    <s v="2019-2020"/>
    <n v="21"/>
  </r>
  <r>
    <x v="245"/>
    <s v="nir"/>
    <s v="NIR"/>
    <s v="MF"/>
    <x v="11"/>
    <n v="31"/>
    <n v="1988"/>
    <n v="4"/>
    <n v="4"/>
    <n v="360"/>
    <x v="8"/>
    <n v="1"/>
    <n v="4"/>
    <n v="0"/>
    <n v="0"/>
    <n v="0"/>
    <n v="0"/>
    <m/>
    <s v="2019-2020"/>
    <n v="6"/>
  </r>
  <r>
    <x v="245"/>
    <s v="nir"/>
    <s v="NIR"/>
    <s v="MF,FW"/>
    <x v="8"/>
    <n v="31"/>
    <n v="1988"/>
    <n v="9"/>
    <n v="9"/>
    <n v="810"/>
    <x v="1"/>
    <n v="0"/>
    <n v="0"/>
    <n v="1"/>
    <n v="2"/>
    <n v="3"/>
    <n v="0"/>
    <m/>
    <s v="2019-2020"/>
    <n v="20"/>
  </r>
  <r>
    <x v="246"/>
    <s v="wls"/>
    <s v="WAL"/>
    <s v="DF"/>
    <x v="7"/>
    <n v="26"/>
    <n v="1992"/>
    <n v="12"/>
    <n v="11"/>
    <n v="946"/>
    <x v="0"/>
    <n v="0"/>
    <n v="0"/>
    <n v="0"/>
    <n v="0"/>
    <n v="0"/>
    <n v="1"/>
    <m/>
    <s v="2019-2020"/>
    <n v="21"/>
  </r>
  <r>
    <x v="247"/>
    <s v="eng"/>
    <s v="ENG"/>
    <s v="FW"/>
    <x v="12"/>
    <n v="31"/>
    <n v="1988"/>
    <n v="10"/>
    <n v="9"/>
    <n v="812"/>
    <x v="0"/>
    <n v="0"/>
    <n v="0"/>
    <n v="0"/>
    <n v="0"/>
    <n v="1"/>
    <n v="0"/>
    <m/>
    <s v="2019-2020"/>
    <n v="7"/>
  </r>
  <r>
    <x v="491"/>
    <s v="is"/>
    <s v="ISL"/>
    <s v="FW"/>
    <x v="7"/>
    <n v="30"/>
    <n v="1988"/>
    <n v="4"/>
    <n v="0"/>
    <n v="49"/>
    <x v="0"/>
    <n v="0"/>
    <n v="0"/>
    <n v="0"/>
    <n v="0"/>
    <n v="0"/>
    <n v="0"/>
    <m/>
    <s v="2019-2020"/>
    <n v="21"/>
  </r>
  <r>
    <x v="492"/>
    <s v="ch"/>
    <s v="SUI"/>
    <s v="FW,MF"/>
    <x v="4"/>
    <n v="28"/>
    <n v="1990"/>
    <n v="12"/>
    <n v="5"/>
    <n v="567"/>
    <x v="1"/>
    <n v="2"/>
    <n v="1"/>
    <n v="0"/>
    <n v="0"/>
    <n v="0"/>
    <n v="0"/>
    <m/>
    <s v="2019-2020"/>
    <n v="39"/>
  </r>
  <r>
    <x v="364"/>
    <s v="nir"/>
    <s v="NIR"/>
    <s v="DF"/>
    <x v="12"/>
    <n v="23"/>
    <n v="1995"/>
    <n v="11"/>
    <n v="11"/>
    <n v="974"/>
    <x v="0"/>
    <n v="0"/>
    <n v="0"/>
    <n v="0"/>
    <n v="0"/>
    <n v="1"/>
    <n v="0"/>
    <m/>
    <s v="2019-2020"/>
    <n v="7"/>
  </r>
  <r>
    <x v="250"/>
    <s v="eng"/>
    <s v="ENG"/>
    <s v="DF"/>
    <x v="11"/>
    <n v="27"/>
    <n v="1992"/>
    <n v="14"/>
    <n v="14"/>
    <n v="1256"/>
    <x v="0"/>
    <n v="0"/>
    <n v="0"/>
    <n v="0"/>
    <n v="0"/>
    <n v="1"/>
    <n v="0"/>
    <m/>
    <s v="2019-2020"/>
    <n v="6"/>
  </r>
  <r>
    <x v="493"/>
    <m/>
    <m/>
    <s v="FW"/>
    <x v="3"/>
    <n v="17"/>
    <n v="2002"/>
    <n v="1"/>
    <n v="0"/>
    <n v="6"/>
    <x v="0"/>
    <n v="0"/>
    <n v="0"/>
    <n v="0"/>
    <n v="0"/>
    <n v="0"/>
    <n v="0"/>
    <m/>
    <s v="2019-2020"/>
    <n v="23"/>
  </r>
  <r>
    <x v="251"/>
    <s v="jm"/>
    <s v="JAM"/>
    <s v="GK"/>
    <x v="8"/>
    <n v="28"/>
    <n v="1991"/>
    <n v="14"/>
    <n v="14"/>
    <n v="1207"/>
    <x v="0"/>
    <n v="0"/>
    <n v="0"/>
    <n v="0"/>
    <n v="0"/>
    <n v="0"/>
    <n v="0"/>
    <m/>
    <s v="2019-2020"/>
    <n v="20"/>
  </r>
  <r>
    <x v="253"/>
    <s v="eng"/>
    <s v="ENG"/>
    <s v="MF"/>
    <x v="7"/>
    <n v="28"/>
    <n v="1990"/>
    <n v="12"/>
    <n v="12"/>
    <n v="1080"/>
    <x v="5"/>
    <n v="3"/>
    <n v="3"/>
    <n v="0"/>
    <n v="0"/>
    <n v="4"/>
    <n v="0"/>
    <m/>
    <s v="2019-2020"/>
    <n v="21"/>
  </r>
  <r>
    <x v="255"/>
    <s v="wls"/>
    <s v="WAL"/>
    <s v="MF"/>
    <x v="11"/>
    <n v="28"/>
    <n v="1990"/>
    <n v="12"/>
    <n v="9"/>
    <n v="879"/>
    <x v="0"/>
    <n v="0"/>
    <n v="0"/>
    <n v="0"/>
    <n v="0"/>
    <n v="1"/>
    <n v="0"/>
    <m/>
    <s v="2019-2020"/>
    <n v="6"/>
  </r>
  <r>
    <x v="256"/>
    <s v="nz"/>
    <s v="NZL"/>
    <s v="MF,DF"/>
    <x v="8"/>
    <n v="29"/>
    <n v="1989"/>
    <n v="14"/>
    <n v="14"/>
    <n v="1260"/>
    <x v="0"/>
    <n v="1"/>
    <n v="0"/>
    <n v="0"/>
    <n v="0"/>
    <n v="2"/>
    <n v="0"/>
    <m/>
    <s v="2019-2020"/>
    <n v="20"/>
  </r>
  <r>
    <x v="442"/>
    <s v="eng"/>
    <s v="ENG"/>
    <s v="FW"/>
    <x v="8"/>
    <n v="20"/>
    <n v="1998"/>
    <n v="14"/>
    <n v="13"/>
    <n v="1130"/>
    <x v="8"/>
    <n v="0"/>
    <n v="2"/>
    <n v="2"/>
    <n v="2"/>
    <n v="1"/>
    <n v="0"/>
    <m/>
    <s v="2019-2020"/>
    <n v="20"/>
  </r>
  <r>
    <x v="366"/>
    <s v="eng"/>
    <s v="ENG"/>
    <s v="FW,MF"/>
    <x v="11"/>
    <n v="21"/>
    <n v="1998"/>
    <n v="12"/>
    <n v="7"/>
    <n v="740"/>
    <x v="1"/>
    <n v="0"/>
    <n v="1"/>
    <n v="0"/>
    <n v="0"/>
    <n v="2"/>
    <n v="0"/>
    <m/>
    <s v="2019-2020"/>
    <n v="6"/>
  </r>
  <r>
    <x v="259"/>
    <s v="ma"/>
    <s v="MAR"/>
    <s v="FW,MF"/>
    <x v="8"/>
    <n v="23"/>
    <n v="1996"/>
    <n v="11"/>
    <n v="6"/>
    <n v="574"/>
    <x v="0"/>
    <n v="1"/>
    <n v="0"/>
    <n v="0"/>
    <n v="0"/>
    <n v="2"/>
    <n v="1"/>
    <m/>
    <s v="2019-2020"/>
    <n v="20"/>
  </r>
  <r>
    <x v="261"/>
    <s v="ie"/>
    <s v="IRL"/>
    <s v="MF,FW"/>
    <x v="0"/>
    <n v="29"/>
    <n v="1990"/>
    <n v="2"/>
    <n v="0"/>
    <n v="32"/>
    <x v="0"/>
    <n v="0"/>
    <n v="0"/>
    <n v="0"/>
    <n v="0"/>
    <n v="0"/>
    <n v="0"/>
    <m/>
    <s v="2019-2020"/>
    <n v="16"/>
  </r>
  <r>
    <x v="263"/>
    <s v="au"/>
    <s v="AUS"/>
    <s v="FW"/>
    <x v="4"/>
    <n v="25"/>
    <n v="1993"/>
    <n v="4"/>
    <n v="3"/>
    <n v="294"/>
    <x v="1"/>
    <n v="1"/>
    <n v="1"/>
    <n v="0"/>
    <n v="0"/>
    <n v="0"/>
    <n v="0"/>
    <m/>
    <s v="2019-2020"/>
    <n v="39"/>
  </r>
  <r>
    <x v="265"/>
    <s v="eng"/>
    <s v="ENG"/>
    <s v="GK"/>
    <x v="2"/>
    <n v="21"/>
    <n v="1998"/>
    <n v="3"/>
    <n v="3"/>
    <n v="270"/>
    <x v="0"/>
    <n v="0"/>
    <n v="0"/>
    <n v="0"/>
    <n v="0"/>
    <n v="0"/>
    <n v="0"/>
    <m/>
    <s v="2019-2020"/>
    <n v="19"/>
  </r>
  <r>
    <x v="268"/>
    <s v="eng"/>
    <s v="ENG"/>
    <s v="DF,FW"/>
    <x v="12"/>
    <n v="22"/>
    <n v="1997"/>
    <n v="9"/>
    <n v="8"/>
    <n v="721"/>
    <x v="0"/>
    <n v="0"/>
    <n v="0"/>
    <n v="0"/>
    <n v="0"/>
    <n v="0"/>
    <n v="0"/>
    <m/>
    <s v="2019-2020"/>
    <n v="7"/>
  </r>
  <r>
    <x v="273"/>
    <s v="nir"/>
    <s v="NIR"/>
    <s v="FW,MF"/>
    <x v="2"/>
    <n v="24"/>
    <n v="1994"/>
    <n v="12"/>
    <n v="10"/>
    <n v="895"/>
    <x v="1"/>
    <n v="2"/>
    <n v="1"/>
    <n v="0"/>
    <n v="0"/>
    <n v="0"/>
    <n v="0"/>
    <m/>
    <s v="2019-2020"/>
    <n v="19"/>
  </r>
  <r>
    <x v="447"/>
    <s v="nl"/>
    <s v="NED"/>
    <s v="DF"/>
    <x v="8"/>
    <n v="27"/>
    <n v="1992"/>
    <n v="10"/>
    <n v="10"/>
    <n v="728"/>
    <x v="1"/>
    <n v="1"/>
    <n v="1"/>
    <n v="0"/>
    <n v="0"/>
    <n v="1"/>
    <n v="0"/>
    <m/>
    <s v="2019-2020"/>
    <n v="20"/>
  </r>
  <r>
    <x v="448"/>
    <s v="eng"/>
    <s v="ENG"/>
    <s v="GK"/>
    <x v="13"/>
    <n v="22"/>
    <n v="1996"/>
    <n v="14"/>
    <n v="14"/>
    <n v="1260"/>
    <x v="0"/>
    <n v="0"/>
    <n v="0"/>
    <n v="0"/>
    <n v="0"/>
    <n v="0"/>
    <n v="0"/>
    <m/>
    <s v="2019-2020"/>
    <n v="9"/>
  </r>
  <r>
    <x v="494"/>
    <s v="eng"/>
    <s v="ENG"/>
    <s v="DF"/>
    <x v="11"/>
    <n v="29"/>
    <n v="1989"/>
    <n v="14"/>
    <n v="14"/>
    <n v="1260"/>
    <x v="0"/>
    <n v="0"/>
    <n v="0"/>
    <n v="0"/>
    <n v="0"/>
    <n v="2"/>
    <n v="0"/>
    <m/>
    <s v="2019-2020"/>
    <n v="6"/>
  </r>
  <r>
    <x v="373"/>
    <s v="eng"/>
    <s v="ENG"/>
    <s v="GK"/>
    <x v="10"/>
    <n v="24"/>
    <n v="1994"/>
    <n v="1"/>
    <n v="1"/>
    <n v="90"/>
    <x v="0"/>
    <n v="0"/>
    <n v="0"/>
    <n v="0"/>
    <n v="0"/>
    <n v="0"/>
    <n v="0"/>
    <m/>
    <s v="2019-2020"/>
    <n v="13"/>
  </r>
  <r>
    <x v="276"/>
    <s v="sct"/>
    <s v="SCO"/>
    <s v="DF"/>
    <x v="7"/>
    <n v="25"/>
    <n v="1993"/>
    <n v="11"/>
    <n v="11"/>
    <n v="909"/>
    <x v="0"/>
    <n v="0"/>
    <n v="0"/>
    <n v="0"/>
    <n v="0"/>
    <n v="2"/>
    <n v="0"/>
    <m/>
    <s v="2019-2020"/>
    <n v="21"/>
  </r>
  <r>
    <x v="277"/>
    <s v="wls"/>
    <s v="WAL"/>
    <s v="MF"/>
    <x v="4"/>
    <n v="27"/>
    <n v="1991"/>
    <n v="15"/>
    <n v="15"/>
    <n v="1264"/>
    <x v="8"/>
    <n v="0"/>
    <n v="4"/>
    <n v="0"/>
    <n v="0"/>
    <n v="1"/>
    <n v="0"/>
    <m/>
    <s v="2019-2020"/>
    <n v="39"/>
  </r>
  <r>
    <x v="279"/>
    <s v="eng"/>
    <s v="ENG"/>
    <s v="DF"/>
    <x v="5"/>
    <n v="31"/>
    <n v="1988"/>
    <n v="16"/>
    <n v="16"/>
    <n v="1440"/>
    <x v="2"/>
    <n v="1"/>
    <n v="2"/>
    <n v="0"/>
    <n v="0"/>
    <n v="0"/>
    <n v="0"/>
    <m/>
    <s v="2019-2020"/>
    <n v="40"/>
  </r>
  <r>
    <x v="281"/>
    <s v="eng"/>
    <s v="ENG"/>
    <s v="DF"/>
    <x v="2"/>
    <n v="19"/>
    <n v="1999"/>
    <n v="6"/>
    <n v="2"/>
    <n v="216"/>
    <x v="0"/>
    <n v="0"/>
    <n v="0"/>
    <n v="0"/>
    <n v="0"/>
    <n v="0"/>
    <n v="0"/>
    <m/>
    <s v="2019-2020"/>
    <n v="19"/>
  </r>
  <r>
    <x v="495"/>
    <s v="be"/>
    <s v="BEL"/>
    <s v="FW,MF"/>
    <x v="5"/>
    <n v="26"/>
    <n v="1993"/>
    <n v="13"/>
    <n v="10"/>
    <n v="872"/>
    <x v="5"/>
    <n v="1"/>
    <n v="3"/>
    <n v="0"/>
    <n v="0"/>
    <n v="2"/>
    <n v="0"/>
    <m/>
    <s v="2019-2020"/>
    <n v="40"/>
  </r>
  <r>
    <x v="496"/>
    <s v="nl"/>
    <s v="NED"/>
    <s v="MF"/>
    <x v="0"/>
    <n v="26"/>
    <n v="1992"/>
    <n v="13"/>
    <n v="9"/>
    <n v="713"/>
    <x v="0"/>
    <n v="0"/>
    <n v="0"/>
    <n v="0"/>
    <n v="0"/>
    <n v="2"/>
    <n v="0"/>
    <m/>
    <s v="2019-2020"/>
    <n v="16"/>
  </r>
  <r>
    <x v="286"/>
    <s v="fi"/>
    <s v="FIN"/>
    <s v="GK"/>
    <x v="2"/>
    <n v="33"/>
    <n v="1986"/>
    <n v="11"/>
    <n v="11"/>
    <n v="990"/>
    <x v="0"/>
    <n v="0"/>
    <n v="0"/>
    <n v="0"/>
    <n v="0"/>
    <n v="0"/>
    <n v="0"/>
    <m/>
    <s v="2019-2020"/>
    <n v="19"/>
  </r>
  <r>
    <x v="497"/>
    <s v="ie"/>
    <s v="IRL"/>
    <s v="MF"/>
    <x v="5"/>
    <n v="17"/>
    <n v="2001"/>
    <n v="1"/>
    <n v="0"/>
    <n v="16"/>
    <x v="0"/>
    <n v="0"/>
    <n v="0"/>
    <n v="0"/>
    <n v="0"/>
    <n v="0"/>
    <n v="0"/>
    <m/>
    <s v="2019-2020"/>
    <n v="40"/>
  </r>
  <r>
    <x v="498"/>
    <s v="eng"/>
    <s v="ENG"/>
    <s v="GK"/>
    <x v="8"/>
    <n v="31"/>
    <n v="1988"/>
    <n v="3"/>
    <n v="1"/>
    <n v="143"/>
    <x v="0"/>
    <n v="0"/>
    <n v="0"/>
    <n v="0"/>
    <n v="0"/>
    <n v="0"/>
    <n v="0"/>
    <m/>
    <s v="2019-2020"/>
    <n v="20"/>
  </r>
  <r>
    <x v="290"/>
    <s v="jm"/>
    <s v="JAM"/>
    <s v="DF"/>
    <x v="10"/>
    <n v="29"/>
    <n v="1990"/>
    <n v="12"/>
    <n v="11"/>
    <n v="1001"/>
    <x v="0"/>
    <n v="0"/>
    <n v="0"/>
    <n v="0"/>
    <n v="1"/>
    <n v="0"/>
    <n v="0"/>
    <m/>
    <s v="2019-2020"/>
    <n v="13"/>
  </r>
  <r>
    <x v="379"/>
    <s v="at"/>
    <s v="AUT"/>
    <s v="DF"/>
    <x v="9"/>
    <n v="28"/>
    <n v="1991"/>
    <n v="10"/>
    <n v="10"/>
    <n v="876"/>
    <x v="0"/>
    <n v="0"/>
    <n v="0"/>
    <n v="0"/>
    <n v="0"/>
    <n v="1"/>
    <n v="0"/>
    <m/>
    <s v="2019-2020"/>
    <n v="36"/>
  </r>
  <r>
    <x v="499"/>
    <s v="nl"/>
    <s v="NED"/>
    <s v="MF"/>
    <x v="13"/>
    <n v="22"/>
    <n v="1997"/>
    <n v="1"/>
    <n v="1"/>
    <n v="50"/>
    <x v="0"/>
    <n v="0"/>
    <n v="0"/>
    <n v="0"/>
    <n v="0"/>
    <n v="0"/>
    <n v="0"/>
    <m/>
    <s v="2019-2020"/>
    <n v="9"/>
  </r>
  <r>
    <x v="293"/>
    <s v="nl"/>
    <s v="NED"/>
    <s v="FW"/>
    <x v="9"/>
    <n v="23"/>
    <n v="1996"/>
    <n v="14"/>
    <n v="14"/>
    <n v="1226"/>
    <x v="16"/>
    <n v="8"/>
    <n v="16"/>
    <n v="0"/>
    <n v="0"/>
    <n v="1"/>
    <n v="0"/>
    <m/>
    <s v="2019-2020"/>
    <n v="36"/>
  </r>
  <r>
    <x v="451"/>
    <s v="pl"/>
    <s v="POL"/>
    <s v="FW"/>
    <x v="0"/>
    <n v="16"/>
    <n v="2003"/>
    <n v="1"/>
    <n v="0"/>
    <n v="1"/>
    <x v="0"/>
    <n v="0"/>
    <n v="0"/>
    <n v="0"/>
    <n v="0"/>
    <n v="0"/>
    <n v="0"/>
    <m/>
    <s v="2019-2020"/>
    <n v="16"/>
  </r>
  <r>
    <x v="294"/>
    <s v="be"/>
    <s v="BEL"/>
    <s v="MF,FW"/>
    <x v="13"/>
    <n v="27"/>
    <n v="1992"/>
    <n v="14"/>
    <n v="13"/>
    <n v="1173"/>
    <x v="2"/>
    <n v="1"/>
    <n v="2"/>
    <n v="0"/>
    <n v="1"/>
    <n v="1"/>
    <n v="0"/>
    <m/>
    <s v="2019-2020"/>
    <n v="9"/>
  </r>
  <r>
    <x v="0"/>
    <s v="eng"/>
    <s v="ENG"/>
    <s v="MF"/>
    <x v="2"/>
    <n v="23"/>
    <n v="1995"/>
    <n v="15"/>
    <n v="13"/>
    <n v="1171"/>
    <x v="1"/>
    <n v="1"/>
    <n v="1"/>
    <n v="0"/>
    <n v="0"/>
    <n v="4"/>
    <n v="0"/>
    <m/>
    <s v="2018-2019"/>
    <n v="12"/>
  </r>
  <r>
    <x v="1"/>
    <s v="eng"/>
    <s v="ENG"/>
    <s v="DF"/>
    <x v="5"/>
    <n v="25"/>
    <n v="1993"/>
    <n v="13"/>
    <n v="10"/>
    <n v="911"/>
    <x v="0"/>
    <n v="2"/>
    <n v="0"/>
    <n v="0"/>
    <n v="0"/>
    <n v="2"/>
    <n v="0"/>
    <m/>
    <s v="2018-2019"/>
    <n v="47"/>
  </r>
  <r>
    <x v="382"/>
    <s v="sct"/>
    <s v="SCO"/>
    <s v="FW,MF"/>
    <x v="13"/>
    <n v="20"/>
    <n v="1997"/>
    <n v="8"/>
    <n v="7"/>
    <n v="646"/>
    <x v="0"/>
    <n v="0"/>
    <n v="0"/>
    <n v="0"/>
    <n v="0"/>
    <n v="0"/>
    <n v="0"/>
    <m/>
    <s v="2018-2019"/>
    <n v="25"/>
  </r>
  <r>
    <x v="452"/>
    <s v="fi"/>
    <s v="FIN"/>
    <s v="FW,MF"/>
    <x v="4"/>
    <n v="23"/>
    <n v="1994"/>
    <n v="11"/>
    <n v="3"/>
    <n v="383"/>
    <x v="2"/>
    <n v="2"/>
    <n v="2"/>
    <n v="0"/>
    <n v="0"/>
    <n v="0"/>
    <n v="0"/>
    <m/>
    <s v="2018-2019"/>
    <n v="42"/>
  </r>
  <r>
    <x v="3"/>
    <s v="ca"/>
    <s v="CAN"/>
    <s v="FW,MF"/>
    <x v="0"/>
    <n v="25"/>
    <n v="1992"/>
    <n v="6"/>
    <n v="4"/>
    <n v="348"/>
    <x v="1"/>
    <n v="0"/>
    <n v="1"/>
    <n v="0"/>
    <n v="0"/>
    <n v="0"/>
    <n v="0"/>
    <m/>
    <s v="2018-2019"/>
    <n v="23"/>
  </r>
  <r>
    <x v="5"/>
    <s v="eng"/>
    <s v="ENG"/>
    <s v="MF,FW"/>
    <x v="10"/>
    <n v="26"/>
    <n v="1991"/>
    <n v="20"/>
    <n v="20"/>
    <n v="1723"/>
    <x v="1"/>
    <n v="2"/>
    <n v="1"/>
    <n v="0"/>
    <n v="0"/>
    <n v="0"/>
    <n v="0"/>
    <m/>
    <s v="2018-2019"/>
    <n v="16"/>
  </r>
  <r>
    <x v="500"/>
    <s v="eng"/>
    <s v="ENG"/>
    <s v="DF"/>
    <x v="13"/>
    <m/>
    <m/>
    <n v="3"/>
    <n v="1"/>
    <n v="106"/>
    <x v="0"/>
    <n v="0"/>
    <n v="0"/>
    <n v="0"/>
    <n v="0"/>
    <n v="0"/>
    <n v="0"/>
    <m/>
    <s v="2018-2019"/>
    <n v="25"/>
  </r>
  <r>
    <x v="501"/>
    <s v="nz"/>
    <s v="NZL"/>
    <s v="DF,FW"/>
    <x v="4"/>
    <n v="30"/>
    <n v="1987"/>
    <n v="9"/>
    <n v="2"/>
    <n v="352"/>
    <x v="0"/>
    <n v="2"/>
    <n v="0"/>
    <n v="0"/>
    <n v="0"/>
    <n v="0"/>
    <n v="0"/>
    <m/>
    <s v="2018-2019"/>
    <n v="42"/>
  </r>
  <r>
    <x v="12"/>
    <s v="ch"/>
    <s v="SUI"/>
    <s v="FW,MF"/>
    <x v="0"/>
    <n v="19"/>
    <n v="1999"/>
    <n v="20"/>
    <n v="20"/>
    <n v="1721"/>
    <x v="7"/>
    <n v="3"/>
    <n v="6"/>
    <n v="0"/>
    <n v="0"/>
    <n v="1"/>
    <n v="0"/>
    <m/>
    <s v="2018-2019"/>
    <n v="23"/>
  </r>
  <r>
    <x v="454"/>
    <s v="se"/>
    <s v="SWE"/>
    <s v="DF,MF"/>
    <x v="10"/>
    <n v="19"/>
    <n v="1998"/>
    <n v="4"/>
    <n v="1"/>
    <n v="148"/>
    <x v="1"/>
    <n v="0"/>
    <n v="1"/>
    <n v="0"/>
    <n v="0"/>
    <n v="0"/>
    <n v="0"/>
    <m/>
    <s v="2018-2019"/>
    <n v="16"/>
  </r>
  <r>
    <x v="502"/>
    <s v="eng"/>
    <s v="ENG"/>
    <s v="MF,FW"/>
    <x v="14"/>
    <n v="23"/>
    <n v="1995"/>
    <n v="12"/>
    <n v="10"/>
    <n v="812"/>
    <x v="1"/>
    <n v="0"/>
    <n v="1"/>
    <n v="0"/>
    <n v="0"/>
    <n v="1"/>
    <n v="0"/>
    <m/>
    <s v="2018-2019"/>
    <n v="-3"/>
  </r>
  <r>
    <x v="503"/>
    <s v="eng"/>
    <s v="ENG"/>
    <s v="FW,MF"/>
    <x v="9"/>
    <n v="17"/>
    <n v="2000"/>
    <n v="2"/>
    <n v="0"/>
    <n v="23"/>
    <x v="0"/>
    <n v="0"/>
    <n v="0"/>
    <n v="0"/>
    <n v="0"/>
    <n v="0"/>
    <n v="0"/>
    <m/>
    <s v="2018-2019"/>
    <n v="54"/>
  </r>
  <r>
    <x v="504"/>
    <s v="eng"/>
    <s v="ENG"/>
    <s v="DF"/>
    <x v="14"/>
    <m/>
    <m/>
    <n v="14"/>
    <n v="11"/>
    <n v="882"/>
    <x v="0"/>
    <n v="0"/>
    <n v="0"/>
    <n v="0"/>
    <n v="0"/>
    <n v="0"/>
    <n v="0"/>
    <m/>
    <s v="2018-2019"/>
    <n v="-3"/>
  </r>
  <r>
    <x v="455"/>
    <s v="sct"/>
    <s v="SCO"/>
    <s v="MF,DF"/>
    <x v="11"/>
    <n v="18"/>
    <n v="2000"/>
    <n v="12"/>
    <n v="9"/>
    <n v="839"/>
    <x v="1"/>
    <n v="1"/>
    <n v="1"/>
    <n v="0"/>
    <n v="0"/>
    <n v="1"/>
    <n v="0"/>
    <m/>
    <s v="2018-2019"/>
    <n v="22"/>
  </r>
  <r>
    <x v="18"/>
    <s v="wls"/>
    <s v="WAL"/>
    <s v="MF"/>
    <x v="2"/>
    <n v="24"/>
    <n v="1994"/>
    <n v="19"/>
    <n v="18"/>
    <n v="1624"/>
    <x v="0"/>
    <n v="1"/>
    <n v="0"/>
    <n v="0"/>
    <n v="0"/>
    <n v="1"/>
    <n v="0"/>
    <m/>
    <s v="2018-2019"/>
    <n v="12"/>
  </r>
  <r>
    <x v="302"/>
    <s v="eng"/>
    <s v="ENG"/>
    <s v="DF"/>
    <x v="4"/>
    <n v="33"/>
    <n v="1985"/>
    <n v="3"/>
    <n v="2"/>
    <n v="196"/>
    <x v="0"/>
    <n v="0"/>
    <n v="0"/>
    <n v="0"/>
    <n v="0"/>
    <n v="0"/>
    <n v="0"/>
    <m/>
    <s v="2018-2019"/>
    <n v="42"/>
  </r>
  <r>
    <x v="456"/>
    <s v="de"/>
    <s v="GER"/>
    <s v="GK"/>
    <x v="11"/>
    <n v="25"/>
    <n v="1992"/>
    <n v="14"/>
    <n v="14"/>
    <n v="1260"/>
    <x v="0"/>
    <n v="0"/>
    <n v="0"/>
    <n v="0"/>
    <n v="0"/>
    <n v="0"/>
    <n v="0"/>
    <m/>
    <s v="2018-2019"/>
    <n v="22"/>
  </r>
  <r>
    <x v="457"/>
    <s v="eng"/>
    <s v="ENG"/>
    <s v="GK"/>
    <x v="0"/>
    <n v="23"/>
    <n v="1995"/>
    <n v="10"/>
    <n v="10"/>
    <n v="805"/>
    <x v="0"/>
    <n v="0"/>
    <n v="0"/>
    <n v="0"/>
    <n v="0"/>
    <n v="0"/>
    <n v="1"/>
    <m/>
    <s v="2018-2019"/>
    <n v="23"/>
  </r>
  <r>
    <x v="505"/>
    <s v="eng"/>
    <s v="ENG"/>
    <s v="FW"/>
    <x v="11"/>
    <n v="17"/>
    <n v="2001"/>
    <n v="1"/>
    <n v="0"/>
    <n v="8"/>
    <x v="0"/>
    <n v="0"/>
    <n v="0"/>
    <n v="0"/>
    <n v="0"/>
    <n v="0"/>
    <n v="0"/>
    <m/>
    <s v="2018-2019"/>
    <n v="22"/>
  </r>
  <r>
    <x v="22"/>
    <s v="de"/>
    <s v="GER"/>
    <s v="GK"/>
    <x v="4"/>
    <n v="27"/>
    <n v="1990"/>
    <n v="1"/>
    <n v="1"/>
    <n v="90"/>
    <x v="0"/>
    <n v="0"/>
    <n v="0"/>
    <n v="0"/>
    <n v="0"/>
    <n v="0"/>
    <n v="0"/>
    <m/>
    <s v="2018-2019"/>
    <n v="42"/>
  </r>
  <r>
    <x v="22"/>
    <s v="de"/>
    <s v="GER"/>
    <s v="GK"/>
    <x v="12"/>
    <n v="27"/>
    <n v="1990"/>
    <n v="8"/>
    <n v="8"/>
    <n v="720"/>
    <x v="0"/>
    <n v="0"/>
    <n v="0"/>
    <n v="0"/>
    <n v="0"/>
    <n v="0"/>
    <n v="0"/>
    <m/>
    <s v="2018-2019"/>
    <n v="40"/>
  </r>
  <r>
    <x v="506"/>
    <s v="eng"/>
    <s v="ENG"/>
    <s v="MF,FW"/>
    <x v="14"/>
    <n v="34"/>
    <n v="1984"/>
    <n v="20"/>
    <n v="19"/>
    <n v="1663"/>
    <x v="2"/>
    <n v="1"/>
    <n v="2"/>
    <n v="0"/>
    <n v="0"/>
    <n v="1"/>
    <n v="0"/>
    <m/>
    <s v="2018-2019"/>
    <n v="-3"/>
  </r>
  <r>
    <x v="24"/>
    <s v="ie"/>
    <s v="IRL"/>
    <s v="DF"/>
    <x v="12"/>
    <n v="22"/>
    <n v="1995"/>
    <n v="20"/>
    <n v="20"/>
    <n v="1800"/>
    <x v="2"/>
    <n v="0"/>
    <n v="1"/>
    <n v="1"/>
    <n v="2"/>
    <n v="4"/>
    <n v="0"/>
    <m/>
    <s v="2018-2019"/>
    <n v="40"/>
  </r>
  <r>
    <x v="458"/>
    <s v="eng"/>
    <s v="ENG"/>
    <s v="MF,FW"/>
    <x v="11"/>
    <n v="23"/>
    <n v="1995"/>
    <n v="6"/>
    <n v="0"/>
    <n v="105"/>
    <x v="1"/>
    <n v="0"/>
    <n v="1"/>
    <n v="0"/>
    <n v="0"/>
    <n v="1"/>
    <n v="0"/>
    <m/>
    <s v="2018-2019"/>
    <n v="22"/>
  </r>
  <r>
    <x v="507"/>
    <s v="eng"/>
    <s v="ENG"/>
    <s v="MF,DF"/>
    <x v="9"/>
    <n v="17"/>
    <n v="2001"/>
    <n v="7"/>
    <n v="1"/>
    <n v="109"/>
    <x v="0"/>
    <n v="0"/>
    <n v="0"/>
    <n v="0"/>
    <n v="0"/>
    <n v="0"/>
    <n v="0"/>
    <m/>
    <s v="2018-2019"/>
    <n v="54"/>
  </r>
  <r>
    <x v="30"/>
    <s v="eng"/>
    <s v="ENG"/>
    <s v="FW,MF"/>
    <x v="9"/>
    <n v="23"/>
    <n v="1995"/>
    <n v="19"/>
    <n v="18"/>
    <n v="1519"/>
    <x v="9"/>
    <n v="12"/>
    <n v="7"/>
    <n v="0"/>
    <n v="0"/>
    <n v="2"/>
    <n v="0"/>
    <m/>
    <s v="2018-2019"/>
    <n v="54"/>
  </r>
  <r>
    <x v="390"/>
    <s v="eng"/>
    <s v="ENG"/>
    <s v="DF"/>
    <x v="10"/>
    <n v="18"/>
    <n v="1999"/>
    <n v="2"/>
    <n v="2"/>
    <n v="180"/>
    <x v="0"/>
    <n v="0"/>
    <n v="0"/>
    <n v="0"/>
    <n v="0"/>
    <n v="0"/>
    <n v="0"/>
    <m/>
    <s v="2018-2019"/>
    <n v="16"/>
  </r>
  <r>
    <x v="31"/>
    <s v="eng"/>
    <s v="ENG"/>
    <s v="FW"/>
    <x v="4"/>
    <n v="24"/>
    <n v="1994"/>
    <n v="18"/>
    <n v="12"/>
    <n v="1077"/>
    <x v="6"/>
    <n v="1"/>
    <n v="12"/>
    <n v="0"/>
    <n v="0"/>
    <n v="0"/>
    <n v="0"/>
    <m/>
    <s v="2018-2019"/>
    <n v="42"/>
  </r>
  <r>
    <x v="508"/>
    <s v="eng"/>
    <s v="ENG"/>
    <s v="MF"/>
    <x v="14"/>
    <n v="31"/>
    <n v="1987"/>
    <n v="17"/>
    <n v="16"/>
    <n v="1473"/>
    <x v="0"/>
    <n v="0"/>
    <n v="0"/>
    <n v="0"/>
    <n v="0"/>
    <n v="0"/>
    <n v="0"/>
    <m/>
    <s v="2018-2019"/>
    <n v="-3"/>
  </r>
  <r>
    <x v="32"/>
    <s v="us"/>
    <s v="USA"/>
    <s v="MF,FW"/>
    <x v="0"/>
    <n v="23"/>
    <n v="1995"/>
    <n v="20"/>
    <n v="16"/>
    <n v="1393"/>
    <x v="1"/>
    <n v="2"/>
    <n v="1"/>
    <n v="0"/>
    <n v="0"/>
    <n v="1"/>
    <n v="0"/>
    <m/>
    <s v="2018-2019"/>
    <n v="23"/>
  </r>
  <r>
    <x v="307"/>
    <s v="eng"/>
    <s v="ENG"/>
    <s v="FW,MF"/>
    <x v="7"/>
    <n v="29"/>
    <n v="1989"/>
    <n v="16"/>
    <n v="16"/>
    <n v="1378"/>
    <x v="9"/>
    <n v="2"/>
    <n v="7"/>
    <n v="0"/>
    <n v="0"/>
    <n v="0"/>
    <n v="0"/>
    <m/>
    <s v="2018-2019"/>
    <n v="30"/>
  </r>
  <r>
    <x v="33"/>
    <s v="us"/>
    <s v="USA"/>
    <s v="DF"/>
    <x v="0"/>
    <n v="25"/>
    <n v="1993"/>
    <n v="14"/>
    <n v="13"/>
    <n v="1208"/>
    <x v="0"/>
    <n v="0"/>
    <n v="0"/>
    <n v="0"/>
    <n v="0"/>
    <n v="0"/>
    <n v="0"/>
    <m/>
    <s v="2018-2019"/>
    <n v="23"/>
  </r>
  <r>
    <x v="35"/>
    <s v="eng"/>
    <s v="ENG"/>
    <s v="MF,FW"/>
    <x v="13"/>
    <n v="21"/>
    <n v="1996"/>
    <n v="20"/>
    <n v="19"/>
    <n v="1740"/>
    <x v="0"/>
    <n v="0"/>
    <n v="0"/>
    <n v="0"/>
    <n v="0"/>
    <n v="0"/>
    <n v="0"/>
    <m/>
    <s v="2018-2019"/>
    <n v="25"/>
  </r>
  <r>
    <x v="391"/>
    <s v="eng"/>
    <s v="ENG"/>
    <s v="GK"/>
    <x v="4"/>
    <n v="31"/>
    <n v="1987"/>
    <n v="10"/>
    <n v="10"/>
    <n v="900"/>
    <x v="0"/>
    <n v="0"/>
    <n v="0"/>
    <n v="0"/>
    <n v="0"/>
    <n v="0"/>
    <n v="0"/>
    <m/>
    <s v="2018-2019"/>
    <n v="42"/>
  </r>
  <r>
    <x v="308"/>
    <s v="sct"/>
    <s v="SCO"/>
    <s v="MF,FW"/>
    <x v="5"/>
    <n v="23"/>
    <n v="1995"/>
    <n v="18"/>
    <n v="16"/>
    <n v="1346"/>
    <x v="4"/>
    <n v="5"/>
    <n v="5"/>
    <n v="0"/>
    <n v="0"/>
    <n v="0"/>
    <n v="0"/>
    <m/>
    <s v="2018-2019"/>
    <n v="47"/>
  </r>
  <r>
    <x v="39"/>
    <s v="eng"/>
    <s v="ENG"/>
    <s v="FW,DF"/>
    <x v="2"/>
    <n v="22"/>
    <n v="1995"/>
    <n v="17"/>
    <n v="9"/>
    <n v="948"/>
    <x v="5"/>
    <n v="0"/>
    <n v="3"/>
    <n v="0"/>
    <n v="0"/>
    <n v="0"/>
    <n v="0"/>
    <m/>
    <s v="2018-2019"/>
    <n v="12"/>
  </r>
  <r>
    <x v="509"/>
    <s v="wls"/>
    <s v="WAL"/>
    <s v="MF,FW"/>
    <x v="7"/>
    <n v="20"/>
    <n v="1998"/>
    <n v="7"/>
    <n v="4"/>
    <n v="309"/>
    <x v="0"/>
    <n v="0"/>
    <n v="0"/>
    <n v="0"/>
    <n v="0"/>
    <n v="0"/>
    <n v="0"/>
    <m/>
    <s v="2018-2019"/>
    <n v="30"/>
  </r>
  <r>
    <x v="510"/>
    <s v="eng"/>
    <s v="ENG"/>
    <s v="MF"/>
    <x v="14"/>
    <m/>
    <m/>
    <n v="1"/>
    <n v="0"/>
    <n v="8"/>
    <x v="0"/>
    <n v="0"/>
    <n v="0"/>
    <n v="0"/>
    <n v="0"/>
    <n v="0"/>
    <n v="0"/>
    <m/>
    <s v="2018-2019"/>
    <n v="-3"/>
  </r>
  <r>
    <x v="40"/>
    <s v="eng"/>
    <s v="ENG"/>
    <s v="FW,MF"/>
    <x v="12"/>
    <n v="20"/>
    <n v="1998"/>
    <n v="20"/>
    <n v="17"/>
    <n v="1587"/>
    <x v="5"/>
    <n v="4"/>
    <n v="3"/>
    <n v="0"/>
    <n v="0"/>
    <n v="0"/>
    <n v="0"/>
    <m/>
    <s v="2018-2019"/>
    <n v="40"/>
  </r>
  <r>
    <x v="511"/>
    <s v="eng"/>
    <s v="ENG"/>
    <s v="DF"/>
    <x v="14"/>
    <m/>
    <m/>
    <n v="10"/>
    <n v="7"/>
    <n v="536"/>
    <x v="0"/>
    <n v="0"/>
    <n v="0"/>
    <n v="0"/>
    <n v="0"/>
    <n v="0"/>
    <n v="0"/>
    <m/>
    <s v="2018-2019"/>
    <n v="-3"/>
  </r>
  <r>
    <x v="311"/>
    <s v="sct"/>
    <s v="SCO"/>
    <s v="MF"/>
    <x v="12"/>
    <n v="23"/>
    <n v="1995"/>
    <n v="19"/>
    <n v="16"/>
    <n v="1426"/>
    <x v="1"/>
    <n v="2"/>
    <n v="1"/>
    <n v="0"/>
    <n v="0"/>
    <n v="0"/>
    <n v="0"/>
    <m/>
    <s v="2018-2019"/>
    <n v="40"/>
  </r>
  <r>
    <x v="44"/>
    <s v="eng"/>
    <s v="ENG"/>
    <s v="MF,FW"/>
    <x v="2"/>
    <n v="20"/>
    <n v="1998"/>
    <n v="11"/>
    <n v="10"/>
    <n v="918"/>
    <x v="1"/>
    <n v="0"/>
    <n v="1"/>
    <n v="0"/>
    <n v="0"/>
    <n v="2"/>
    <n v="0"/>
    <m/>
    <s v="2018-2019"/>
    <n v="12"/>
  </r>
  <r>
    <x v="312"/>
    <s v="eng"/>
    <s v="ENG"/>
    <s v="MF"/>
    <x v="10"/>
    <n v="19"/>
    <n v="1998"/>
    <n v="16"/>
    <n v="14"/>
    <n v="1095"/>
    <x v="0"/>
    <n v="0"/>
    <n v="0"/>
    <n v="0"/>
    <n v="0"/>
    <n v="0"/>
    <n v="0"/>
    <m/>
    <s v="2018-2019"/>
    <n v="16"/>
  </r>
  <r>
    <x v="45"/>
    <s v="kr"/>
    <s v="KOR"/>
    <s v="MF"/>
    <x v="0"/>
    <n v="30"/>
    <n v="1988"/>
    <n v="7"/>
    <n v="6"/>
    <n v="570"/>
    <x v="0"/>
    <n v="2"/>
    <n v="0"/>
    <n v="0"/>
    <n v="0"/>
    <n v="0"/>
    <n v="0"/>
    <m/>
    <s v="2018-2019"/>
    <n v="23"/>
  </r>
  <r>
    <x v="313"/>
    <s v="sct"/>
    <s v="SCO"/>
    <s v="MF"/>
    <x v="11"/>
    <n v="28"/>
    <n v="1990"/>
    <n v="19"/>
    <n v="16"/>
    <n v="1293"/>
    <x v="0"/>
    <n v="1"/>
    <n v="0"/>
    <n v="0"/>
    <n v="0"/>
    <n v="0"/>
    <n v="0"/>
    <m/>
    <s v="2018-2019"/>
    <n v="22"/>
  </r>
  <r>
    <x v="314"/>
    <s v="sct"/>
    <s v="SCO"/>
    <s v="FW,MF"/>
    <x v="5"/>
    <n v="24"/>
    <n v="1994"/>
    <n v="14"/>
    <n v="7"/>
    <n v="647"/>
    <x v="8"/>
    <n v="3"/>
    <n v="4"/>
    <n v="0"/>
    <n v="0"/>
    <n v="0"/>
    <n v="0"/>
    <m/>
    <s v="2018-2019"/>
    <n v="47"/>
  </r>
  <r>
    <x v="512"/>
    <s v="eng"/>
    <s v="ENG"/>
    <s v="DF"/>
    <x v="0"/>
    <n v="29"/>
    <n v="1989"/>
    <n v="13"/>
    <n v="11"/>
    <n v="1042"/>
    <x v="1"/>
    <n v="0"/>
    <n v="1"/>
    <n v="0"/>
    <n v="0"/>
    <n v="0"/>
    <n v="0"/>
    <m/>
    <s v="2018-2019"/>
    <n v="23"/>
  </r>
  <r>
    <x v="48"/>
    <s v="eng"/>
    <s v="ENG"/>
    <s v="FW"/>
    <x v="2"/>
    <n v="22"/>
    <n v="1996"/>
    <n v="10"/>
    <n v="3"/>
    <n v="415"/>
    <x v="1"/>
    <n v="0"/>
    <n v="1"/>
    <n v="0"/>
    <n v="0"/>
    <n v="0"/>
    <n v="0"/>
    <m/>
    <s v="2018-2019"/>
    <n v="12"/>
  </r>
  <r>
    <x v="48"/>
    <s v="eng"/>
    <s v="ENG"/>
    <s v="FW,MF"/>
    <x v="12"/>
    <n v="22"/>
    <n v="1996"/>
    <n v="7"/>
    <n v="3"/>
    <n v="285"/>
    <x v="0"/>
    <n v="1"/>
    <n v="0"/>
    <n v="0"/>
    <n v="0"/>
    <n v="0"/>
    <n v="0"/>
    <m/>
    <s v="2018-2019"/>
    <n v="40"/>
  </r>
  <r>
    <x v="49"/>
    <s v="eng"/>
    <s v="ENG"/>
    <s v="MF"/>
    <x v="12"/>
    <n v="19"/>
    <n v="1999"/>
    <n v="10"/>
    <n v="3"/>
    <n v="312"/>
    <x v="1"/>
    <n v="1"/>
    <n v="1"/>
    <n v="0"/>
    <n v="0"/>
    <n v="0"/>
    <n v="0"/>
    <m/>
    <s v="2018-2019"/>
    <n v="40"/>
  </r>
  <r>
    <x v="460"/>
    <s v="eng"/>
    <s v="ENG"/>
    <s v="FW,MF"/>
    <x v="11"/>
    <n v="27"/>
    <n v="1990"/>
    <n v="19"/>
    <n v="15"/>
    <n v="1341"/>
    <x v="3"/>
    <n v="0"/>
    <n v="7"/>
    <n v="3"/>
    <n v="3"/>
    <n v="0"/>
    <n v="0"/>
    <m/>
    <s v="2018-2019"/>
    <n v="22"/>
  </r>
  <r>
    <x v="315"/>
    <s v="eng"/>
    <s v="ENG"/>
    <s v="MF,DF"/>
    <x v="10"/>
    <n v="29"/>
    <n v="1988"/>
    <n v="19"/>
    <n v="17"/>
    <n v="1557"/>
    <x v="1"/>
    <n v="1"/>
    <n v="1"/>
    <n v="0"/>
    <n v="0"/>
    <n v="2"/>
    <n v="0"/>
    <m/>
    <s v="2018-2019"/>
    <n v="16"/>
  </r>
  <r>
    <x v="53"/>
    <s v="eng"/>
    <s v="ENG"/>
    <s v="FW,MF"/>
    <x v="9"/>
    <n v="25"/>
    <n v="1993"/>
    <n v="6"/>
    <n v="0"/>
    <n v="84"/>
    <x v="0"/>
    <n v="0"/>
    <n v="0"/>
    <n v="0"/>
    <n v="0"/>
    <n v="0"/>
    <n v="0"/>
    <m/>
    <s v="2018-2019"/>
    <n v="54"/>
  </r>
  <r>
    <x v="54"/>
    <s v="eng"/>
    <s v="ENG"/>
    <s v="DF,MF"/>
    <x v="2"/>
    <n v="27"/>
    <n v="1991"/>
    <n v="14"/>
    <n v="13"/>
    <n v="1129"/>
    <x v="0"/>
    <n v="0"/>
    <n v="0"/>
    <n v="0"/>
    <n v="0"/>
    <n v="0"/>
    <n v="0"/>
    <m/>
    <s v="2018-2019"/>
    <n v="12"/>
  </r>
  <r>
    <x v="399"/>
    <s v="nl"/>
    <s v="NED"/>
    <s v="MF,FW"/>
    <x v="9"/>
    <n v="26"/>
    <n v="1991"/>
    <n v="19"/>
    <n v="18"/>
    <n v="1588"/>
    <x v="14"/>
    <n v="6"/>
    <n v="10"/>
    <n v="1"/>
    <n v="1"/>
    <n v="3"/>
    <n v="0"/>
    <m/>
    <s v="2018-2019"/>
    <n v="54"/>
  </r>
  <r>
    <x v="316"/>
    <s v="nl"/>
    <s v="NED"/>
    <s v="DF"/>
    <x v="13"/>
    <n v="22"/>
    <n v="1996"/>
    <n v="19"/>
    <n v="17"/>
    <n v="1553"/>
    <x v="2"/>
    <n v="0"/>
    <n v="2"/>
    <n v="0"/>
    <n v="0"/>
    <n v="1"/>
    <n v="0"/>
    <m/>
    <s v="2018-2019"/>
    <n v="25"/>
  </r>
  <r>
    <x v="55"/>
    <s v="eng"/>
    <s v="ENG"/>
    <s v="DF"/>
    <x v="4"/>
    <n v="25"/>
    <n v="1993"/>
    <n v="5"/>
    <n v="2"/>
    <n v="228"/>
    <x v="0"/>
    <n v="0"/>
    <n v="0"/>
    <n v="0"/>
    <n v="0"/>
    <n v="0"/>
    <n v="0"/>
    <m/>
    <s v="2018-2019"/>
    <n v="42"/>
  </r>
  <r>
    <x v="59"/>
    <s v="eng"/>
    <s v="ENG"/>
    <s v="DF"/>
    <x v="5"/>
    <n v="26"/>
    <n v="1991"/>
    <n v="11"/>
    <n v="11"/>
    <n v="914"/>
    <x v="1"/>
    <n v="1"/>
    <n v="1"/>
    <n v="0"/>
    <n v="0"/>
    <n v="0"/>
    <n v="0"/>
    <m/>
    <s v="2018-2019"/>
    <n v="47"/>
  </r>
  <r>
    <x v="513"/>
    <s v="nl"/>
    <s v="NED"/>
    <s v="MF"/>
    <x v="2"/>
    <n v="25"/>
    <n v="1993"/>
    <n v="12"/>
    <n v="7"/>
    <n v="616"/>
    <x v="0"/>
    <n v="1"/>
    <n v="0"/>
    <n v="0"/>
    <n v="0"/>
    <n v="0"/>
    <n v="0"/>
    <m/>
    <s v="2018-2019"/>
    <n v="12"/>
  </r>
  <r>
    <x v="514"/>
    <s v="nl"/>
    <s v="NED"/>
    <s v="MF,DF"/>
    <x v="9"/>
    <n v="23"/>
    <n v="1995"/>
    <n v="19"/>
    <n v="19"/>
    <n v="1676"/>
    <x v="5"/>
    <n v="3"/>
    <n v="3"/>
    <n v="0"/>
    <n v="0"/>
    <n v="0"/>
    <n v="0"/>
    <m/>
    <s v="2018-2019"/>
    <n v="54"/>
  </r>
  <r>
    <x v="63"/>
    <s v="jm"/>
    <s v="JAM"/>
    <s v="MF"/>
    <x v="4"/>
    <n v="25"/>
    <n v="1992"/>
    <n v="17"/>
    <n v="15"/>
    <n v="1206"/>
    <x v="1"/>
    <n v="3"/>
    <n v="1"/>
    <n v="0"/>
    <n v="0"/>
    <n v="3"/>
    <n v="0"/>
    <m/>
    <s v="2018-2019"/>
    <n v="42"/>
  </r>
  <r>
    <x v="515"/>
    <s v="eng"/>
    <s v="ENG"/>
    <s v="DF"/>
    <x v="10"/>
    <n v="16"/>
    <n v="2002"/>
    <n v="1"/>
    <n v="1"/>
    <n v="90"/>
    <x v="0"/>
    <n v="0"/>
    <n v="0"/>
    <n v="0"/>
    <n v="0"/>
    <n v="0"/>
    <n v="0"/>
    <m/>
    <s v="2018-2019"/>
    <n v="16"/>
  </r>
  <r>
    <x v="461"/>
    <s v="wls"/>
    <s v="WAL"/>
    <s v="FW"/>
    <x v="2"/>
    <n v="17"/>
    <n v="2001"/>
    <n v="12"/>
    <n v="3"/>
    <n v="394"/>
    <x v="0"/>
    <n v="0"/>
    <n v="0"/>
    <n v="0"/>
    <n v="0"/>
    <n v="0"/>
    <n v="0"/>
    <m/>
    <s v="2018-2019"/>
    <n v="12"/>
  </r>
  <r>
    <x v="516"/>
    <s v="eng"/>
    <s v="ENG"/>
    <s v="FW,MF"/>
    <x v="13"/>
    <n v="18"/>
    <n v="2000"/>
    <n v="20"/>
    <n v="17"/>
    <n v="1459"/>
    <x v="2"/>
    <n v="1"/>
    <n v="2"/>
    <n v="0"/>
    <n v="0"/>
    <n v="4"/>
    <n v="0"/>
    <m/>
    <s v="2018-2019"/>
    <n v="25"/>
  </r>
  <r>
    <x v="319"/>
    <s v="eng"/>
    <s v="ENG"/>
    <s v="FW"/>
    <x v="12"/>
    <n v="29"/>
    <n v="1989"/>
    <n v="8"/>
    <n v="7"/>
    <n v="647"/>
    <x v="7"/>
    <n v="1"/>
    <n v="6"/>
    <n v="0"/>
    <n v="0"/>
    <n v="0"/>
    <n v="0"/>
    <m/>
    <s v="2018-2019"/>
    <n v="40"/>
  </r>
  <r>
    <x v="69"/>
    <s v="eng"/>
    <s v="ENG"/>
    <s v="FW,MF"/>
    <x v="10"/>
    <n v="19"/>
    <n v="1999"/>
    <n v="19"/>
    <n v="14"/>
    <n v="1422"/>
    <x v="8"/>
    <n v="1"/>
    <n v="4"/>
    <n v="0"/>
    <n v="0"/>
    <n v="3"/>
    <n v="0"/>
    <m/>
    <s v="2018-2019"/>
    <n v="16"/>
  </r>
  <r>
    <x v="517"/>
    <s v="nir"/>
    <s v="NIR"/>
    <s v="DF,MF"/>
    <x v="14"/>
    <n v="22"/>
    <n v="1996"/>
    <n v="20"/>
    <n v="19"/>
    <n v="1681"/>
    <x v="5"/>
    <n v="0"/>
    <n v="3"/>
    <n v="0"/>
    <n v="1"/>
    <n v="0"/>
    <n v="0"/>
    <m/>
    <s v="2018-2019"/>
    <n v="-3"/>
  </r>
  <r>
    <x v="70"/>
    <s v="eng"/>
    <s v="ENG"/>
    <s v="GK"/>
    <x v="5"/>
    <n v="18"/>
    <n v="1999"/>
    <n v="15"/>
    <n v="15"/>
    <n v="1350"/>
    <x v="0"/>
    <n v="0"/>
    <n v="0"/>
    <n v="0"/>
    <n v="0"/>
    <n v="0"/>
    <n v="0"/>
    <m/>
    <s v="2018-2019"/>
    <n v="47"/>
  </r>
  <r>
    <x v="518"/>
    <s v="eng"/>
    <s v="ENG"/>
    <s v="MF,FW"/>
    <x v="14"/>
    <m/>
    <m/>
    <n v="18"/>
    <n v="8"/>
    <n v="820"/>
    <x v="1"/>
    <n v="0"/>
    <n v="1"/>
    <n v="0"/>
    <n v="0"/>
    <n v="0"/>
    <n v="0"/>
    <m/>
    <s v="2018-2019"/>
    <n v="-3"/>
  </r>
  <r>
    <x v="321"/>
    <s v="eng"/>
    <s v="ENG"/>
    <s v="MF"/>
    <x v="10"/>
    <n v="28"/>
    <n v="1990"/>
    <n v="6"/>
    <n v="2"/>
    <n v="256"/>
    <x v="0"/>
    <n v="0"/>
    <n v="0"/>
    <n v="0"/>
    <n v="0"/>
    <n v="0"/>
    <n v="0"/>
    <m/>
    <s v="2018-2019"/>
    <n v="16"/>
  </r>
  <r>
    <x v="409"/>
    <s v="eng"/>
    <s v="ENG"/>
    <s v="MF,FW"/>
    <x v="14"/>
    <n v="18"/>
    <n v="2000"/>
    <n v="15"/>
    <n v="8"/>
    <n v="775"/>
    <x v="1"/>
    <n v="0"/>
    <n v="1"/>
    <n v="0"/>
    <n v="0"/>
    <n v="0"/>
    <n v="0"/>
    <m/>
    <s v="2018-2019"/>
    <n v="-3"/>
  </r>
  <r>
    <x v="519"/>
    <s v="sct"/>
    <s v="SCO"/>
    <s v="DF,MF"/>
    <x v="2"/>
    <n v="24"/>
    <n v="1993"/>
    <n v="7"/>
    <n v="6"/>
    <n v="447"/>
    <x v="0"/>
    <n v="0"/>
    <n v="0"/>
    <n v="0"/>
    <n v="0"/>
    <n v="0"/>
    <n v="0"/>
    <m/>
    <s v="2018-2019"/>
    <n v="12"/>
  </r>
  <r>
    <x v="412"/>
    <s v="eng"/>
    <s v="ENG"/>
    <s v="FW,MF"/>
    <x v="12"/>
    <n v="26"/>
    <n v="1992"/>
    <n v="20"/>
    <n v="17"/>
    <n v="1377"/>
    <x v="8"/>
    <n v="2"/>
    <n v="4"/>
    <n v="0"/>
    <n v="0"/>
    <n v="0"/>
    <n v="0"/>
    <m/>
    <s v="2018-2019"/>
    <n v="40"/>
  </r>
  <r>
    <x v="76"/>
    <s v="sct"/>
    <s v="SCO"/>
    <s v="DF"/>
    <x v="9"/>
    <n v="25"/>
    <n v="1992"/>
    <n v="11"/>
    <n v="9"/>
    <n v="809"/>
    <x v="1"/>
    <n v="0"/>
    <n v="1"/>
    <n v="0"/>
    <n v="0"/>
    <n v="1"/>
    <n v="0"/>
    <m/>
    <s v="2018-2019"/>
    <n v="54"/>
  </r>
  <r>
    <x v="520"/>
    <s v="eng"/>
    <s v="ENG"/>
    <s v="FW,MF"/>
    <x v="14"/>
    <m/>
    <m/>
    <n v="9"/>
    <n v="5"/>
    <n v="447"/>
    <x v="0"/>
    <n v="0"/>
    <n v="0"/>
    <n v="0"/>
    <n v="0"/>
    <n v="0"/>
    <n v="0"/>
    <m/>
    <s v="2018-2019"/>
    <n v="-3"/>
  </r>
  <r>
    <x v="78"/>
    <s v="sct"/>
    <s v="SCO"/>
    <s v="FW,MF"/>
    <x v="4"/>
    <n v="20"/>
    <n v="1998"/>
    <n v="19"/>
    <n v="17"/>
    <n v="1394"/>
    <x v="12"/>
    <n v="6"/>
    <n v="8"/>
    <n v="0"/>
    <n v="0"/>
    <n v="1"/>
    <n v="0"/>
    <m/>
    <s v="2018-2019"/>
    <n v="42"/>
  </r>
  <r>
    <x v="79"/>
    <s v="us"/>
    <s v="USA"/>
    <s v="DF"/>
    <x v="0"/>
    <n v="23"/>
    <n v="1994"/>
    <n v="17"/>
    <n v="16"/>
    <n v="1396"/>
    <x v="0"/>
    <n v="0"/>
    <n v="0"/>
    <n v="0"/>
    <n v="0"/>
    <n v="1"/>
    <n v="0"/>
    <m/>
    <s v="2018-2019"/>
    <n v="23"/>
  </r>
  <r>
    <x v="80"/>
    <s v="eng"/>
    <s v="ENG"/>
    <s v="DF"/>
    <x v="5"/>
    <n v="17"/>
    <n v="2000"/>
    <n v="6"/>
    <n v="5"/>
    <n v="475"/>
    <x v="0"/>
    <n v="0"/>
    <n v="0"/>
    <n v="0"/>
    <n v="0"/>
    <n v="0"/>
    <n v="0"/>
    <m/>
    <s v="2018-2019"/>
    <n v="47"/>
  </r>
  <r>
    <x v="323"/>
    <s v="nl"/>
    <s v="NED"/>
    <s v="FW,DF"/>
    <x v="0"/>
    <n v="20"/>
    <n v="1997"/>
    <n v="10"/>
    <n v="7"/>
    <n v="644"/>
    <x v="1"/>
    <n v="0"/>
    <n v="1"/>
    <n v="0"/>
    <n v="0"/>
    <n v="2"/>
    <n v="0"/>
    <m/>
    <s v="2018-2019"/>
    <n v="23"/>
  </r>
  <r>
    <x v="414"/>
    <s v="eng"/>
    <s v="ENG"/>
    <s v="MF,FW"/>
    <x v="7"/>
    <n v="34"/>
    <n v="1984"/>
    <n v="20"/>
    <n v="20"/>
    <n v="1725"/>
    <x v="14"/>
    <n v="3"/>
    <n v="9"/>
    <n v="2"/>
    <n v="3"/>
    <n v="1"/>
    <n v="0"/>
    <m/>
    <s v="2018-2019"/>
    <n v="30"/>
  </r>
  <r>
    <x v="85"/>
    <s v="eng"/>
    <s v="ENG"/>
    <s v="DF,MF"/>
    <x v="2"/>
    <n v="21"/>
    <n v="1997"/>
    <n v="8"/>
    <n v="6"/>
    <n v="534"/>
    <x v="0"/>
    <n v="0"/>
    <n v="0"/>
    <n v="0"/>
    <n v="0"/>
    <n v="0"/>
    <n v="0"/>
    <m/>
    <s v="2018-2019"/>
    <n v="12"/>
  </r>
  <r>
    <x v="325"/>
    <s v="eng"/>
    <s v="ENG"/>
    <s v="DF"/>
    <x v="10"/>
    <n v="24"/>
    <n v="1994"/>
    <n v="17"/>
    <n v="16"/>
    <n v="1409"/>
    <x v="0"/>
    <n v="1"/>
    <n v="0"/>
    <n v="0"/>
    <n v="0"/>
    <n v="1"/>
    <n v="0"/>
    <m/>
    <s v="2018-2019"/>
    <n v="16"/>
  </r>
  <r>
    <x v="462"/>
    <s v="eng"/>
    <s v="ENG"/>
    <s v="DF,MF"/>
    <x v="10"/>
    <n v="29"/>
    <n v="1988"/>
    <n v="7"/>
    <n v="7"/>
    <n v="613"/>
    <x v="0"/>
    <n v="0"/>
    <n v="0"/>
    <n v="0"/>
    <n v="0"/>
    <n v="0"/>
    <n v="0"/>
    <m/>
    <s v="2018-2019"/>
    <n v="16"/>
  </r>
  <r>
    <x v="415"/>
    <s v="eng"/>
    <s v="ENG"/>
    <s v="DF"/>
    <x v="13"/>
    <n v="18"/>
    <n v="1999"/>
    <n v="2"/>
    <n v="2"/>
    <n v="135"/>
    <x v="0"/>
    <n v="0"/>
    <n v="0"/>
    <n v="0"/>
    <n v="0"/>
    <n v="0"/>
    <n v="0"/>
    <m/>
    <s v="2018-2019"/>
    <n v="25"/>
  </r>
  <r>
    <x v="88"/>
    <s v="eng"/>
    <s v="ENG"/>
    <s v="FW,MF"/>
    <x v="4"/>
    <n v="25"/>
    <n v="1993"/>
    <n v="16"/>
    <n v="9"/>
    <n v="967"/>
    <x v="10"/>
    <n v="0"/>
    <n v="7"/>
    <n v="2"/>
    <n v="2"/>
    <n v="0"/>
    <n v="0"/>
    <m/>
    <s v="2018-2019"/>
    <n v="42"/>
  </r>
  <r>
    <x v="464"/>
    <s v="eng"/>
    <s v="ENG"/>
    <s v="GK"/>
    <x v="11"/>
    <n v="20"/>
    <n v="1998"/>
    <n v="6"/>
    <n v="6"/>
    <n v="540"/>
    <x v="0"/>
    <n v="0"/>
    <n v="0"/>
    <n v="0"/>
    <n v="0"/>
    <n v="0"/>
    <n v="0"/>
    <m/>
    <s v="2018-2019"/>
    <n v="22"/>
  </r>
  <r>
    <x v="465"/>
    <s v="sct"/>
    <s v="SCO"/>
    <s v="DF,MF"/>
    <x v="13"/>
    <n v="30"/>
    <n v="1987"/>
    <n v="20"/>
    <n v="20"/>
    <n v="1714"/>
    <x v="0"/>
    <n v="0"/>
    <n v="0"/>
    <n v="0"/>
    <n v="0"/>
    <n v="1"/>
    <n v="0"/>
    <m/>
    <s v="2018-2019"/>
    <n v="25"/>
  </r>
  <r>
    <x v="93"/>
    <s v="eng"/>
    <s v="ENG"/>
    <s v="DF"/>
    <x v="2"/>
    <n v="21"/>
    <n v="1997"/>
    <n v="16"/>
    <n v="16"/>
    <n v="1370"/>
    <x v="1"/>
    <n v="0"/>
    <n v="1"/>
    <n v="0"/>
    <n v="0"/>
    <n v="0"/>
    <n v="0"/>
    <m/>
    <s v="2018-2019"/>
    <n v="12"/>
  </r>
  <r>
    <x v="94"/>
    <s v="eng"/>
    <s v="ENG"/>
    <s v="DF"/>
    <x v="5"/>
    <n v="27"/>
    <n v="1991"/>
    <n v="17"/>
    <n v="14"/>
    <n v="1308"/>
    <x v="1"/>
    <n v="0"/>
    <n v="1"/>
    <n v="0"/>
    <n v="0"/>
    <n v="2"/>
    <n v="0"/>
    <m/>
    <s v="2018-2019"/>
    <n v="47"/>
  </r>
  <r>
    <x v="326"/>
    <s v="eng"/>
    <s v="ENG"/>
    <s v="FW,MF"/>
    <x v="7"/>
    <n v="31"/>
    <n v="1987"/>
    <n v="14"/>
    <n v="8"/>
    <n v="835"/>
    <x v="2"/>
    <n v="4"/>
    <n v="2"/>
    <n v="0"/>
    <n v="0"/>
    <n v="1"/>
    <n v="0"/>
    <m/>
    <s v="2018-2019"/>
    <n v="30"/>
  </r>
  <r>
    <x v="95"/>
    <s v="wls"/>
    <s v="WAL"/>
    <s v="DF"/>
    <x v="13"/>
    <n v="21"/>
    <n v="1996"/>
    <n v="19"/>
    <n v="17"/>
    <n v="1536"/>
    <x v="1"/>
    <n v="0"/>
    <n v="1"/>
    <n v="0"/>
    <n v="0"/>
    <n v="2"/>
    <n v="0"/>
    <m/>
    <s v="2018-2019"/>
    <n v="25"/>
  </r>
  <r>
    <x v="96"/>
    <s v="eng"/>
    <s v="ENG"/>
    <s v="DF"/>
    <x v="2"/>
    <n v="22"/>
    <n v="1996"/>
    <n v="17"/>
    <n v="15"/>
    <n v="1455"/>
    <x v="0"/>
    <n v="0"/>
    <n v="0"/>
    <n v="0"/>
    <n v="0"/>
    <n v="0"/>
    <n v="0"/>
    <m/>
    <s v="2018-2019"/>
    <n v="12"/>
  </r>
  <r>
    <x v="521"/>
    <s v="wls"/>
    <s v="WAL"/>
    <s v="MF"/>
    <x v="14"/>
    <n v="22"/>
    <n v="1995"/>
    <n v="19"/>
    <n v="16"/>
    <n v="1402"/>
    <x v="0"/>
    <n v="0"/>
    <n v="0"/>
    <n v="0"/>
    <n v="0"/>
    <n v="2"/>
    <n v="0"/>
    <m/>
    <s v="2018-2019"/>
    <n v="-3"/>
  </r>
  <r>
    <x v="328"/>
    <s v="eng"/>
    <s v="ENG"/>
    <s v="MF,FW"/>
    <x v="5"/>
    <n v="19"/>
    <n v="1999"/>
    <n v="19"/>
    <n v="13"/>
    <n v="1314"/>
    <x v="14"/>
    <n v="3"/>
    <n v="11"/>
    <n v="0"/>
    <n v="0"/>
    <n v="4"/>
    <n v="0"/>
    <m/>
    <s v="2018-2019"/>
    <n v="47"/>
  </r>
  <r>
    <x v="99"/>
    <s v="eng"/>
    <s v="ENG"/>
    <s v="DF"/>
    <x v="0"/>
    <n v="26"/>
    <n v="1991"/>
    <n v="19"/>
    <n v="19"/>
    <n v="1710"/>
    <x v="1"/>
    <n v="0"/>
    <n v="1"/>
    <n v="0"/>
    <n v="0"/>
    <n v="2"/>
    <n v="0"/>
    <m/>
    <s v="2018-2019"/>
    <n v="23"/>
  </r>
  <r>
    <x v="102"/>
    <s v="ie"/>
    <s v="IRL"/>
    <s v="GK"/>
    <x v="7"/>
    <n v="25"/>
    <n v="1993"/>
    <n v="20"/>
    <n v="20"/>
    <n v="1800"/>
    <x v="0"/>
    <n v="0"/>
    <n v="0"/>
    <n v="0"/>
    <n v="0"/>
    <n v="1"/>
    <n v="0"/>
    <m/>
    <s v="2018-2019"/>
    <n v="30"/>
  </r>
  <r>
    <x v="108"/>
    <s v="eng"/>
    <s v="ENG"/>
    <s v="DF,FW"/>
    <x v="4"/>
    <n v="24"/>
    <n v="1994"/>
    <n v="17"/>
    <n v="13"/>
    <n v="1197"/>
    <x v="1"/>
    <n v="4"/>
    <n v="1"/>
    <n v="0"/>
    <n v="0"/>
    <n v="0"/>
    <n v="0"/>
    <m/>
    <s v="2018-2019"/>
    <n v="42"/>
  </r>
  <r>
    <x v="109"/>
    <s v="wls"/>
    <s v="WAL"/>
    <s v="FW,MF"/>
    <x v="2"/>
    <n v="19"/>
    <n v="1999"/>
    <n v="13"/>
    <n v="7"/>
    <n v="610"/>
    <x v="2"/>
    <n v="0"/>
    <n v="2"/>
    <n v="0"/>
    <n v="0"/>
    <n v="2"/>
    <n v="0"/>
    <m/>
    <s v="2018-2019"/>
    <n v="12"/>
  </r>
  <r>
    <x v="110"/>
    <s v="eng"/>
    <s v="ENG"/>
    <s v="GK"/>
    <x v="12"/>
    <n v="17"/>
    <n v="2000"/>
    <n v="12"/>
    <n v="12"/>
    <n v="1080"/>
    <x v="0"/>
    <n v="0"/>
    <n v="0"/>
    <n v="0"/>
    <n v="0"/>
    <n v="0"/>
    <n v="0"/>
    <m/>
    <s v="2018-2019"/>
    <n v="40"/>
  </r>
  <r>
    <x v="522"/>
    <s v="eng"/>
    <s v="ENG"/>
    <s v="DF"/>
    <x v="14"/>
    <n v="25"/>
    <n v="1993"/>
    <n v="18"/>
    <n v="18"/>
    <n v="1545"/>
    <x v="1"/>
    <n v="1"/>
    <n v="1"/>
    <n v="0"/>
    <n v="0"/>
    <n v="1"/>
    <n v="0"/>
    <m/>
    <s v="2018-2019"/>
    <n v="-3"/>
  </r>
  <r>
    <x v="331"/>
    <s v="ie"/>
    <s v="IRL"/>
    <s v="DF"/>
    <x v="12"/>
    <n v="25"/>
    <n v="1993"/>
    <n v="14"/>
    <n v="11"/>
    <n v="1024"/>
    <x v="0"/>
    <n v="1"/>
    <n v="0"/>
    <n v="0"/>
    <n v="0"/>
    <n v="2"/>
    <n v="0"/>
    <m/>
    <s v="2018-2019"/>
    <n v="40"/>
  </r>
  <r>
    <x v="113"/>
    <s v="wls"/>
    <s v="WAL"/>
    <s v="MF"/>
    <x v="12"/>
    <n v="24"/>
    <n v="1993"/>
    <n v="19"/>
    <n v="19"/>
    <n v="1690"/>
    <x v="2"/>
    <n v="1"/>
    <n v="2"/>
    <n v="0"/>
    <n v="0"/>
    <n v="2"/>
    <n v="1"/>
    <m/>
    <s v="2018-2019"/>
    <n v="40"/>
  </r>
  <r>
    <x v="523"/>
    <s v="ie"/>
    <s v="IRL"/>
    <s v="FW,MF"/>
    <x v="13"/>
    <n v="18"/>
    <n v="2000"/>
    <n v="9"/>
    <n v="1"/>
    <n v="241"/>
    <x v="0"/>
    <n v="0"/>
    <n v="0"/>
    <n v="0"/>
    <n v="0"/>
    <n v="0"/>
    <n v="0"/>
    <m/>
    <s v="2018-2019"/>
    <n v="25"/>
  </r>
  <r>
    <x v="524"/>
    <s v="se"/>
    <s v="SWE"/>
    <s v="GK"/>
    <x v="4"/>
    <n v="35"/>
    <n v="1983"/>
    <n v="9"/>
    <n v="9"/>
    <n v="810"/>
    <x v="0"/>
    <n v="0"/>
    <n v="0"/>
    <n v="0"/>
    <n v="0"/>
    <n v="0"/>
    <n v="0"/>
    <m/>
    <s v="2018-2019"/>
    <n v="42"/>
  </r>
  <r>
    <x v="332"/>
    <s v="nl"/>
    <s v="NED"/>
    <s v="MF,FW"/>
    <x v="2"/>
    <n v="22"/>
    <n v="1996"/>
    <n v="19"/>
    <n v="18"/>
    <n v="1497"/>
    <x v="8"/>
    <n v="4"/>
    <n v="4"/>
    <n v="0"/>
    <n v="1"/>
    <n v="0"/>
    <n v="0"/>
    <m/>
    <s v="2018-2019"/>
    <n v="12"/>
  </r>
  <r>
    <x v="466"/>
    <s v="ng"/>
    <s v="NGA"/>
    <s v="FW"/>
    <x v="10"/>
    <n v="24"/>
    <n v="1994"/>
    <n v="20"/>
    <n v="14"/>
    <n v="1237"/>
    <x v="2"/>
    <n v="1"/>
    <n v="2"/>
    <n v="0"/>
    <n v="0"/>
    <n v="0"/>
    <n v="0"/>
    <m/>
    <s v="2018-2019"/>
    <n v="16"/>
  </r>
  <r>
    <x v="468"/>
    <s v="jm"/>
    <s v="JAM"/>
    <s v="MF,FW"/>
    <x v="7"/>
    <n v="22"/>
    <n v="1995"/>
    <n v="6"/>
    <n v="3"/>
    <n v="287"/>
    <x v="0"/>
    <n v="0"/>
    <n v="0"/>
    <n v="0"/>
    <n v="0"/>
    <n v="0"/>
    <n v="0"/>
    <m/>
    <s v="2018-2019"/>
    <n v="30"/>
  </r>
  <r>
    <x v="468"/>
    <s v="jm"/>
    <s v="JAM"/>
    <s v="MF"/>
    <x v="4"/>
    <n v="22"/>
    <n v="1995"/>
    <n v="1"/>
    <n v="0"/>
    <n v="30"/>
    <x v="0"/>
    <n v="0"/>
    <n v="0"/>
    <n v="0"/>
    <n v="0"/>
    <n v="0"/>
    <n v="0"/>
    <m/>
    <s v="2018-2019"/>
    <n v="42"/>
  </r>
  <r>
    <x v="120"/>
    <s v="eng"/>
    <s v="ENG"/>
    <s v="MF,FW"/>
    <x v="7"/>
    <n v="27"/>
    <n v="1990"/>
    <n v="13"/>
    <n v="12"/>
    <n v="974"/>
    <x v="1"/>
    <n v="0"/>
    <n v="1"/>
    <n v="0"/>
    <n v="0"/>
    <n v="2"/>
    <n v="0"/>
    <m/>
    <s v="2018-2019"/>
    <n v="30"/>
  </r>
  <r>
    <x v="420"/>
    <s v="sct"/>
    <s v="SCO"/>
    <s v="FW"/>
    <x v="0"/>
    <n v="28"/>
    <n v="1989"/>
    <n v="20"/>
    <n v="18"/>
    <n v="1660"/>
    <x v="9"/>
    <n v="2"/>
    <n v="7"/>
    <n v="0"/>
    <n v="1"/>
    <n v="0"/>
    <n v="0"/>
    <m/>
    <s v="2018-2019"/>
    <n v="23"/>
  </r>
  <r>
    <x v="338"/>
    <s v="ca"/>
    <s v="CAN"/>
    <s v="FW"/>
    <x v="5"/>
    <n v="23"/>
    <n v="1994"/>
    <n v="10"/>
    <n v="2"/>
    <n v="290"/>
    <x v="1"/>
    <n v="2"/>
    <n v="1"/>
    <n v="0"/>
    <n v="0"/>
    <n v="1"/>
    <n v="0"/>
    <m/>
    <s v="2018-2019"/>
    <n v="47"/>
  </r>
  <r>
    <x v="525"/>
    <s v="dk"/>
    <s v="DEN"/>
    <s v="DF"/>
    <x v="9"/>
    <n v="31"/>
    <n v="1986"/>
    <n v="6"/>
    <n v="3"/>
    <n v="256"/>
    <x v="1"/>
    <n v="0"/>
    <n v="1"/>
    <n v="0"/>
    <n v="0"/>
    <n v="0"/>
    <n v="0"/>
    <m/>
    <s v="2018-2019"/>
    <n v="54"/>
  </r>
  <r>
    <x v="122"/>
    <s v="eng"/>
    <s v="ENG"/>
    <s v="DF"/>
    <x v="11"/>
    <n v="25"/>
    <n v="1993"/>
    <n v="10"/>
    <n v="10"/>
    <n v="895"/>
    <x v="0"/>
    <n v="0"/>
    <n v="0"/>
    <n v="0"/>
    <n v="0"/>
    <n v="1"/>
    <n v="0"/>
    <m/>
    <s v="2018-2019"/>
    <n v="22"/>
  </r>
  <r>
    <x v="126"/>
    <s v="eng"/>
    <s v="ENG"/>
    <s v="DF"/>
    <x v="11"/>
    <n v="21"/>
    <n v="1997"/>
    <n v="6"/>
    <n v="6"/>
    <n v="540"/>
    <x v="0"/>
    <n v="0"/>
    <n v="0"/>
    <n v="0"/>
    <n v="0"/>
    <n v="0"/>
    <n v="0"/>
    <m/>
    <s v="2018-2019"/>
    <n v="22"/>
  </r>
  <r>
    <x v="526"/>
    <s v="eng"/>
    <s v="ENG"/>
    <s v="MF,FW"/>
    <x v="10"/>
    <n v="21"/>
    <n v="1997"/>
    <n v="3"/>
    <n v="2"/>
    <n v="107"/>
    <x v="0"/>
    <n v="0"/>
    <n v="0"/>
    <n v="0"/>
    <n v="0"/>
    <n v="0"/>
    <n v="0"/>
    <m/>
    <s v="2018-2019"/>
    <n v="16"/>
  </r>
  <r>
    <x v="127"/>
    <s v="sct"/>
    <s v="SCO"/>
    <s v="DF"/>
    <x v="5"/>
    <n v="27"/>
    <n v="1991"/>
    <n v="17"/>
    <n v="17"/>
    <n v="1530"/>
    <x v="1"/>
    <n v="0"/>
    <n v="1"/>
    <n v="0"/>
    <n v="0"/>
    <n v="1"/>
    <n v="0"/>
    <m/>
    <s v="2018-2019"/>
    <n v="47"/>
  </r>
  <r>
    <x v="128"/>
    <s v="eng"/>
    <s v="ENG"/>
    <s v="DF,MF"/>
    <x v="4"/>
    <n v="20"/>
    <n v="1997"/>
    <n v="13"/>
    <n v="8"/>
    <n v="763"/>
    <x v="0"/>
    <n v="1"/>
    <n v="0"/>
    <n v="0"/>
    <n v="0"/>
    <n v="1"/>
    <n v="0"/>
    <m/>
    <s v="2018-2019"/>
    <n v="42"/>
  </r>
  <r>
    <x v="470"/>
    <s v="eng"/>
    <s v="ENG"/>
    <s v="FW,MF"/>
    <x v="11"/>
    <n v="29"/>
    <n v="1989"/>
    <n v="12"/>
    <n v="11"/>
    <n v="1017"/>
    <x v="2"/>
    <n v="2"/>
    <n v="2"/>
    <n v="0"/>
    <n v="0"/>
    <n v="0"/>
    <n v="0"/>
    <m/>
    <s v="2018-2019"/>
    <n v="22"/>
  </r>
  <r>
    <x v="131"/>
    <s v="eng"/>
    <s v="ENG"/>
    <s v="FW,MF"/>
    <x v="5"/>
    <n v="16"/>
    <n v="2001"/>
    <n v="2"/>
    <n v="0"/>
    <n v="39"/>
    <x v="0"/>
    <n v="0"/>
    <n v="0"/>
    <n v="0"/>
    <n v="0"/>
    <n v="0"/>
    <n v="0"/>
    <m/>
    <s v="2018-2019"/>
    <n v="47"/>
  </r>
  <r>
    <x v="527"/>
    <s v="se"/>
    <s v="SWE"/>
    <s v="DF"/>
    <x v="9"/>
    <n v="26"/>
    <n v="1992"/>
    <n v="8"/>
    <n v="1"/>
    <n v="193"/>
    <x v="0"/>
    <n v="0"/>
    <n v="0"/>
    <n v="0"/>
    <n v="0"/>
    <n v="0"/>
    <n v="0"/>
    <m/>
    <s v="2018-2019"/>
    <n v="54"/>
  </r>
  <r>
    <x v="422"/>
    <s v="eng"/>
    <s v="ENG"/>
    <s v="MF"/>
    <x v="13"/>
    <n v="17"/>
    <n v="2001"/>
    <n v="4"/>
    <n v="1"/>
    <n v="71"/>
    <x v="0"/>
    <n v="0"/>
    <n v="0"/>
    <n v="0"/>
    <n v="0"/>
    <n v="0"/>
    <n v="0"/>
    <m/>
    <s v="2018-2019"/>
    <n v="25"/>
  </r>
  <r>
    <x v="340"/>
    <s v="kr"/>
    <s v="KOR"/>
    <s v="MF"/>
    <x v="4"/>
    <n v="27"/>
    <n v="1991"/>
    <n v="17"/>
    <n v="17"/>
    <n v="1430"/>
    <x v="7"/>
    <n v="2"/>
    <n v="6"/>
    <n v="0"/>
    <n v="0"/>
    <n v="0"/>
    <n v="0"/>
    <m/>
    <s v="2018-2019"/>
    <n v="42"/>
  </r>
  <r>
    <x v="341"/>
    <s v="eng"/>
    <s v="ENG"/>
    <s v="MF"/>
    <x v="5"/>
    <n v="31"/>
    <n v="1987"/>
    <n v="19"/>
    <n v="19"/>
    <n v="1574"/>
    <x v="0"/>
    <n v="5"/>
    <n v="0"/>
    <n v="0"/>
    <n v="0"/>
    <n v="0"/>
    <n v="0"/>
    <m/>
    <s v="2018-2019"/>
    <n v="47"/>
  </r>
  <r>
    <x v="471"/>
    <s v="eng"/>
    <s v="ENG"/>
    <s v="DF"/>
    <x v="7"/>
    <n v="33"/>
    <n v="1984"/>
    <n v="16"/>
    <n v="16"/>
    <n v="1440"/>
    <x v="0"/>
    <n v="0"/>
    <n v="0"/>
    <n v="0"/>
    <n v="0"/>
    <n v="0"/>
    <n v="0"/>
    <m/>
    <s v="2018-2019"/>
    <n v="30"/>
  </r>
  <r>
    <x v="528"/>
    <s v="eng"/>
    <s v="ENG"/>
    <s v="MF"/>
    <x v="10"/>
    <n v="22"/>
    <n v="1996"/>
    <n v="10"/>
    <n v="6"/>
    <n v="562"/>
    <x v="1"/>
    <n v="0"/>
    <n v="1"/>
    <n v="0"/>
    <n v="0"/>
    <n v="0"/>
    <n v="0"/>
    <m/>
    <s v="2018-2019"/>
    <n v="16"/>
  </r>
  <r>
    <x v="343"/>
    <s v="se"/>
    <s v="SWE"/>
    <s v="DF"/>
    <x v="4"/>
    <n v="25"/>
    <n v="1993"/>
    <n v="18"/>
    <n v="18"/>
    <n v="1504"/>
    <x v="0"/>
    <n v="2"/>
    <n v="0"/>
    <n v="0"/>
    <n v="0"/>
    <n v="1"/>
    <n v="0"/>
    <m/>
    <s v="2018-2019"/>
    <n v="42"/>
  </r>
  <r>
    <x v="137"/>
    <s v="eng"/>
    <s v="ENG"/>
    <s v="MF,FW"/>
    <x v="9"/>
    <n v="25"/>
    <n v="1992"/>
    <n v="8"/>
    <n v="8"/>
    <n v="704"/>
    <x v="10"/>
    <n v="3"/>
    <n v="9"/>
    <n v="0"/>
    <n v="0"/>
    <n v="0"/>
    <n v="0"/>
    <m/>
    <s v="2018-2019"/>
    <n v="54"/>
  </r>
  <r>
    <x v="472"/>
    <s v="de"/>
    <s v="GER"/>
    <s v="MF"/>
    <x v="0"/>
    <n v="29"/>
    <n v="1989"/>
    <n v="11"/>
    <n v="11"/>
    <n v="907"/>
    <x v="2"/>
    <n v="4"/>
    <n v="2"/>
    <n v="0"/>
    <n v="0"/>
    <n v="1"/>
    <n v="0"/>
    <m/>
    <s v="2018-2019"/>
    <n v="23"/>
  </r>
  <r>
    <x v="529"/>
    <s v="be"/>
    <s v="BEL"/>
    <s v="MF"/>
    <x v="13"/>
    <n v="24"/>
    <n v="1994"/>
    <n v="20"/>
    <n v="20"/>
    <n v="1800"/>
    <x v="0"/>
    <n v="2"/>
    <n v="0"/>
    <n v="0"/>
    <n v="0"/>
    <n v="0"/>
    <n v="0"/>
    <m/>
    <s v="2018-2019"/>
    <n v="25"/>
  </r>
  <r>
    <x v="530"/>
    <s v="fi"/>
    <s v="FIN"/>
    <s v="FW"/>
    <x v="13"/>
    <n v="24"/>
    <n v="1994"/>
    <n v="14"/>
    <n v="12"/>
    <n v="870"/>
    <x v="1"/>
    <n v="0"/>
    <n v="1"/>
    <n v="0"/>
    <n v="0"/>
    <n v="0"/>
    <n v="0"/>
    <m/>
    <s v="2018-2019"/>
    <n v="25"/>
  </r>
  <r>
    <x v="424"/>
    <s v="eng"/>
    <s v="ENG"/>
    <s v="GK"/>
    <x v="5"/>
    <n v="33"/>
    <n v="1984"/>
    <n v="5"/>
    <n v="5"/>
    <n v="450"/>
    <x v="0"/>
    <n v="0"/>
    <n v="0"/>
    <n v="0"/>
    <n v="0"/>
    <n v="0"/>
    <n v="0"/>
    <m/>
    <s v="2018-2019"/>
    <n v="47"/>
  </r>
  <r>
    <x v="531"/>
    <s v="eng"/>
    <s v="ENG"/>
    <s v="FW,MF"/>
    <x v="4"/>
    <n v="30"/>
    <n v="1987"/>
    <n v="14"/>
    <n v="12"/>
    <n v="985"/>
    <x v="1"/>
    <n v="4"/>
    <n v="1"/>
    <n v="0"/>
    <n v="1"/>
    <n v="2"/>
    <n v="0"/>
    <m/>
    <s v="2018-2019"/>
    <n v="42"/>
  </r>
  <r>
    <x v="145"/>
    <s v="eng"/>
    <s v="ENG"/>
    <s v="MF,DF"/>
    <x v="0"/>
    <n v="29"/>
    <n v="1989"/>
    <n v="19"/>
    <n v="17"/>
    <n v="1596"/>
    <x v="2"/>
    <n v="1"/>
    <n v="2"/>
    <n v="0"/>
    <n v="0"/>
    <n v="4"/>
    <n v="0"/>
    <m/>
    <s v="2018-2019"/>
    <n v="23"/>
  </r>
  <r>
    <x v="473"/>
    <s v="eng"/>
    <s v="ENG"/>
    <s v="FW,MF"/>
    <x v="10"/>
    <n v="25"/>
    <n v="1992"/>
    <n v="12"/>
    <n v="9"/>
    <n v="756"/>
    <x v="0"/>
    <n v="0"/>
    <n v="0"/>
    <n v="0"/>
    <n v="0"/>
    <n v="0"/>
    <n v="0"/>
    <m/>
    <s v="2018-2019"/>
    <n v="16"/>
  </r>
  <r>
    <x v="148"/>
    <s v="ie"/>
    <s v="IRL"/>
    <s v="MF,FW"/>
    <x v="9"/>
    <n v="22"/>
    <n v="1995"/>
    <n v="20"/>
    <n v="17"/>
    <n v="1575"/>
    <x v="4"/>
    <n v="8"/>
    <n v="5"/>
    <n v="0"/>
    <n v="0"/>
    <n v="2"/>
    <n v="0"/>
    <m/>
    <s v="2018-2019"/>
    <n v="54"/>
  </r>
  <r>
    <x v="149"/>
    <s v="eng"/>
    <s v="ENG"/>
    <s v="FW"/>
    <x v="13"/>
    <n v="15"/>
    <n v="2002"/>
    <n v="7"/>
    <n v="0"/>
    <n v="102"/>
    <x v="0"/>
    <n v="0"/>
    <n v="0"/>
    <n v="0"/>
    <n v="0"/>
    <n v="0"/>
    <n v="0"/>
    <m/>
    <s v="2018-2019"/>
    <n v="25"/>
  </r>
  <r>
    <x v="532"/>
    <s v="nz"/>
    <s v="NZL"/>
    <s v="FW,MF"/>
    <x v="13"/>
    <n v="25"/>
    <n v="1992"/>
    <n v="4"/>
    <n v="1"/>
    <n v="107"/>
    <x v="1"/>
    <n v="0"/>
    <n v="1"/>
    <n v="0"/>
    <n v="0"/>
    <n v="0"/>
    <n v="0"/>
    <m/>
    <s v="2018-2019"/>
    <n v="25"/>
  </r>
  <r>
    <x v="153"/>
    <s v="dk"/>
    <s v="DEN"/>
    <s v="DF,FW"/>
    <x v="9"/>
    <n v="27"/>
    <n v="1991"/>
    <n v="8"/>
    <n v="7"/>
    <n v="622"/>
    <x v="0"/>
    <n v="2"/>
    <n v="0"/>
    <n v="0"/>
    <n v="0"/>
    <n v="1"/>
    <n v="0"/>
    <m/>
    <s v="2018-2019"/>
    <n v="54"/>
  </r>
  <r>
    <x v="154"/>
    <s v="wls"/>
    <s v="WAL"/>
    <s v="MF,FW"/>
    <x v="10"/>
    <n v="30"/>
    <n v="1988"/>
    <n v="18"/>
    <n v="17"/>
    <n v="1541"/>
    <x v="2"/>
    <n v="2"/>
    <n v="2"/>
    <n v="0"/>
    <n v="0"/>
    <n v="2"/>
    <n v="0"/>
    <m/>
    <s v="2018-2019"/>
    <n v="16"/>
  </r>
  <r>
    <x v="346"/>
    <s v="eng"/>
    <s v="ENG"/>
    <s v="MF"/>
    <x v="5"/>
    <n v="21"/>
    <n v="1997"/>
    <n v="19"/>
    <n v="19"/>
    <n v="1710"/>
    <x v="1"/>
    <n v="5"/>
    <n v="1"/>
    <n v="0"/>
    <n v="0"/>
    <n v="3"/>
    <n v="0"/>
    <m/>
    <s v="2018-2019"/>
    <n v="47"/>
  </r>
  <r>
    <x v="159"/>
    <s v="eng"/>
    <s v="ENG"/>
    <s v="DF"/>
    <x v="12"/>
    <n v="27"/>
    <n v="1990"/>
    <n v="19"/>
    <n v="18"/>
    <n v="1631"/>
    <x v="2"/>
    <n v="2"/>
    <n v="2"/>
    <n v="0"/>
    <n v="0"/>
    <n v="3"/>
    <n v="0"/>
    <m/>
    <s v="2018-2019"/>
    <n v="40"/>
  </r>
  <r>
    <x v="162"/>
    <s v="sct"/>
    <s v="SCO"/>
    <s v="MF"/>
    <x v="9"/>
    <n v="28"/>
    <n v="1990"/>
    <n v="14"/>
    <n v="14"/>
    <n v="1225"/>
    <x v="12"/>
    <n v="6"/>
    <n v="5"/>
    <n v="3"/>
    <n v="3"/>
    <n v="0"/>
    <n v="0"/>
    <m/>
    <s v="2018-2019"/>
    <n v="54"/>
  </r>
  <r>
    <x v="163"/>
    <s v="eng"/>
    <s v="ENG"/>
    <s v="GK"/>
    <x v="2"/>
    <n v="21"/>
    <n v="1997"/>
    <n v="20"/>
    <n v="20"/>
    <n v="1800"/>
    <x v="0"/>
    <n v="0"/>
    <n v="0"/>
    <n v="0"/>
    <n v="0"/>
    <n v="1"/>
    <n v="0"/>
    <m/>
    <s v="2018-2019"/>
    <n v="12"/>
  </r>
  <r>
    <x v="426"/>
    <s v="eng"/>
    <s v="ENG"/>
    <s v="DF"/>
    <x v="10"/>
    <n v="26"/>
    <n v="1992"/>
    <n v="15"/>
    <n v="15"/>
    <n v="1350"/>
    <x v="0"/>
    <n v="0"/>
    <n v="0"/>
    <n v="0"/>
    <n v="0"/>
    <n v="1"/>
    <n v="0"/>
    <m/>
    <s v="2018-2019"/>
    <n v="16"/>
  </r>
  <r>
    <x v="477"/>
    <s v="eng"/>
    <s v="ENG"/>
    <s v="FW"/>
    <x v="11"/>
    <n v="24"/>
    <n v="1993"/>
    <n v="15"/>
    <n v="9"/>
    <n v="748"/>
    <x v="1"/>
    <n v="1"/>
    <n v="1"/>
    <n v="0"/>
    <n v="0"/>
    <n v="2"/>
    <n v="0"/>
    <m/>
    <s v="2018-2019"/>
    <n v="22"/>
  </r>
  <r>
    <x v="533"/>
    <m/>
    <m/>
    <s v="DF"/>
    <x v="7"/>
    <m/>
    <m/>
    <n v="18"/>
    <n v="17"/>
    <n v="1522"/>
    <x v="1"/>
    <n v="2"/>
    <n v="1"/>
    <n v="0"/>
    <n v="0"/>
    <n v="3"/>
    <n v="0"/>
    <m/>
    <s v="2018-2019"/>
    <n v="30"/>
  </r>
  <r>
    <x v="170"/>
    <s v="eng"/>
    <s v="ENG"/>
    <s v="MF"/>
    <x v="11"/>
    <n v="27"/>
    <n v="1991"/>
    <n v="20"/>
    <n v="20"/>
    <n v="1793"/>
    <x v="0"/>
    <n v="4"/>
    <n v="0"/>
    <n v="0"/>
    <n v="0"/>
    <n v="0"/>
    <n v="0"/>
    <m/>
    <s v="2018-2019"/>
    <n v="22"/>
  </r>
  <r>
    <x v="534"/>
    <s v="eng"/>
    <s v="ENG"/>
    <s v="GK"/>
    <x v="10"/>
    <m/>
    <m/>
    <n v="1"/>
    <n v="1"/>
    <n v="90"/>
    <x v="0"/>
    <n v="0"/>
    <n v="0"/>
    <n v="0"/>
    <n v="0"/>
    <n v="0"/>
    <n v="0"/>
    <m/>
    <s v="2018-2019"/>
    <n v="16"/>
  </r>
  <r>
    <x v="428"/>
    <s v="nir"/>
    <s v="NIR"/>
    <s v="DF"/>
    <x v="10"/>
    <n v="22"/>
    <n v="1996"/>
    <n v="13"/>
    <n v="13"/>
    <n v="1170"/>
    <x v="1"/>
    <n v="2"/>
    <n v="1"/>
    <n v="0"/>
    <n v="0"/>
    <n v="2"/>
    <n v="0"/>
    <m/>
    <s v="2018-2019"/>
    <n v="16"/>
  </r>
  <r>
    <x v="430"/>
    <s v="eng"/>
    <s v="ENG"/>
    <s v="FW,MF"/>
    <x v="7"/>
    <n v="25"/>
    <n v="1992"/>
    <n v="17"/>
    <n v="15"/>
    <n v="1323"/>
    <x v="5"/>
    <n v="0"/>
    <n v="2"/>
    <n v="1"/>
    <n v="1"/>
    <n v="1"/>
    <n v="0"/>
    <m/>
    <s v="2018-2019"/>
    <n v="30"/>
  </r>
  <r>
    <x v="172"/>
    <s v="eng"/>
    <s v="ENG"/>
    <s v="FW,MF"/>
    <x v="5"/>
    <n v="17"/>
    <n v="2000"/>
    <n v="10"/>
    <n v="7"/>
    <n v="603"/>
    <x v="2"/>
    <n v="1"/>
    <n v="2"/>
    <n v="0"/>
    <n v="0"/>
    <n v="1"/>
    <n v="0"/>
    <m/>
    <s v="2018-2019"/>
    <n v="47"/>
  </r>
  <r>
    <x v="535"/>
    <s v="eng"/>
    <s v="ENG"/>
    <s v="MF,FW"/>
    <x v="11"/>
    <m/>
    <m/>
    <n v="2"/>
    <n v="0"/>
    <n v="22"/>
    <x v="0"/>
    <n v="0"/>
    <n v="0"/>
    <n v="0"/>
    <n v="0"/>
    <n v="0"/>
    <n v="0"/>
    <m/>
    <s v="2018-2019"/>
    <n v="22"/>
  </r>
  <r>
    <x v="536"/>
    <s v="eng"/>
    <s v="ENG"/>
    <s v="MF"/>
    <x v="14"/>
    <m/>
    <m/>
    <n v="3"/>
    <n v="0"/>
    <n v="27"/>
    <x v="0"/>
    <n v="0"/>
    <n v="0"/>
    <n v="0"/>
    <n v="0"/>
    <n v="0"/>
    <n v="0"/>
    <m/>
    <s v="2018-2019"/>
    <n v="-3"/>
  </r>
  <r>
    <x v="176"/>
    <s v="eng"/>
    <s v="ENG"/>
    <s v="DF"/>
    <x v="9"/>
    <n v="21"/>
    <n v="1997"/>
    <n v="19"/>
    <n v="18"/>
    <n v="1602"/>
    <x v="1"/>
    <n v="2"/>
    <n v="1"/>
    <n v="0"/>
    <n v="0"/>
    <n v="1"/>
    <n v="0"/>
    <m/>
    <s v="2018-2019"/>
    <n v="54"/>
  </r>
  <r>
    <x v="537"/>
    <s v="eng"/>
    <s v="ENG"/>
    <s v="DF,FW"/>
    <x v="11"/>
    <n v="33"/>
    <n v="1984"/>
    <n v="11"/>
    <n v="5"/>
    <n v="454"/>
    <x v="0"/>
    <n v="0"/>
    <n v="0"/>
    <n v="0"/>
    <n v="0"/>
    <n v="1"/>
    <n v="0"/>
    <m/>
    <s v="2018-2019"/>
    <n v="22"/>
  </r>
  <r>
    <x v="177"/>
    <s v="ie"/>
    <s v="IRL"/>
    <s v="FW,MF"/>
    <x v="0"/>
    <n v="19"/>
    <n v="1999"/>
    <n v="15"/>
    <n v="10"/>
    <n v="917"/>
    <x v="2"/>
    <n v="1"/>
    <n v="2"/>
    <n v="0"/>
    <n v="0"/>
    <n v="2"/>
    <n v="0"/>
    <m/>
    <s v="2018-2019"/>
    <n v="23"/>
  </r>
  <r>
    <x v="179"/>
    <s v="eng"/>
    <s v="ENG"/>
    <s v="DF"/>
    <x v="11"/>
    <n v="24"/>
    <n v="1993"/>
    <n v="19"/>
    <n v="19"/>
    <n v="1710"/>
    <x v="0"/>
    <n v="1"/>
    <n v="0"/>
    <n v="0"/>
    <n v="0"/>
    <n v="1"/>
    <n v="0"/>
    <m/>
    <s v="2018-2019"/>
    <n v="22"/>
  </r>
  <r>
    <x v="183"/>
    <s v="ch"/>
    <s v="SUI"/>
    <s v="MF"/>
    <x v="9"/>
    <n v="25"/>
    <n v="1993"/>
    <n v="12"/>
    <n v="12"/>
    <n v="1058"/>
    <x v="0"/>
    <n v="1"/>
    <n v="0"/>
    <n v="0"/>
    <n v="0"/>
    <n v="1"/>
    <n v="0"/>
    <m/>
    <s v="2018-2019"/>
    <n v="54"/>
  </r>
  <r>
    <x v="538"/>
    <s v="wls"/>
    <s v="WAL"/>
    <s v="FW"/>
    <x v="14"/>
    <n v="20"/>
    <n v="1997"/>
    <n v="1"/>
    <n v="0"/>
    <n v="2"/>
    <x v="0"/>
    <n v="0"/>
    <n v="0"/>
    <n v="0"/>
    <n v="0"/>
    <n v="0"/>
    <n v="0"/>
    <m/>
    <s v="2018-2019"/>
    <n v="-3"/>
  </r>
  <r>
    <x v="185"/>
    <s v="wls"/>
    <s v="WAL"/>
    <s v="DF,MF"/>
    <x v="7"/>
    <n v="17"/>
    <n v="2000"/>
    <n v="4"/>
    <n v="1"/>
    <n v="150"/>
    <x v="0"/>
    <n v="0"/>
    <n v="0"/>
    <n v="0"/>
    <n v="0"/>
    <n v="0"/>
    <n v="0"/>
    <m/>
    <s v="2018-2019"/>
    <n v="30"/>
  </r>
  <r>
    <x v="187"/>
    <s v="sct"/>
    <s v="SCO"/>
    <s v="DF,FW"/>
    <x v="9"/>
    <n v="26"/>
    <n v="1992"/>
    <n v="18"/>
    <n v="16"/>
    <n v="1412"/>
    <x v="1"/>
    <n v="2"/>
    <n v="1"/>
    <n v="0"/>
    <n v="0"/>
    <n v="0"/>
    <n v="0"/>
    <m/>
    <s v="2018-2019"/>
    <n v="54"/>
  </r>
  <r>
    <x v="482"/>
    <s v="wls"/>
    <s v="WAL"/>
    <s v="DF"/>
    <x v="13"/>
    <n v="30"/>
    <n v="1988"/>
    <n v="19"/>
    <n v="19"/>
    <n v="1710"/>
    <x v="0"/>
    <n v="1"/>
    <n v="0"/>
    <n v="0"/>
    <n v="0"/>
    <n v="1"/>
    <n v="0"/>
    <m/>
    <s v="2018-2019"/>
    <n v="25"/>
  </r>
  <r>
    <x v="352"/>
    <s v="ie"/>
    <s v="IRL"/>
    <s v="DF"/>
    <x v="9"/>
    <n v="28"/>
    <n v="1990"/>
    <n v="19"/>
    <n v="17"/>
    <n v="1544"/>
    <x v="1"/>
    <n v="1"/>
    <n v="1"/>
    <n v="0"/>
    <n v="0"/>
    <n v="0"/>
    <n v="0"/>
    <m/>
    <s v="2018-2019"/>
    <n v="54"/>
  </r>
  <r>
    <x v="539"/>
    <s v="nl"/>
    <s v="NED"/>
    <s v="MF,DF"/>
    <x v="0"/>
    <n v="27"/>
    <n v="1991"/>
    <n v="12"/>
    <n v="10"/>
    <n v="771"/>
    <x v="0"/>
    <n v="0"/>
    <n v="0"/>
    <n v="0"/>
    <n v="0"/>
    <n v="2"/>
    <n v="0"/>
    <m/>
    <s v="2018-2019"/>
    <n v="23"/>
  </r>
  <r>
    <x v="540"/>
    <s v="eng"/>
    <s v="ENG"/>
    <s v="GK"/>
    <x v="10"/>
    <m/>
    <m/>
    <n v="2"/>
    <n v="2"/>
    <n v="180"/>
    <x v="0"/>
    <n v="0"/>
    <n v="0"/>
    <n v="0"/>
    <n v="0"/>
    <n v="0"/>
    <n v="0"/>
    <m/>
    <s v="2018-2019"/>
    <n v="16"/>
  </r>
  <r>
    <x v="191"/>
    <s v="sct"/>
    <s v="SCO"/>
    <s v="MF,FW"/>
    <x v="13"/>
    <n v="21"/>
    <n v="1996"/>
    <n v="19"/>
    <n v="19"/>
    <n v="1709"/>
    <x v="9"/>
    <n v="2"/>
    <n v="5"/>
    <n v="2"/>
    <n v="2"/>
    <n v="1"/>
    <n v="0"/>
    <m/>
    <s v="2018-2019"/>
    <n v="25"/>
  </r>
  <r>
    <x v="355"/>
    <s v="ie"/>
    <s v="IRL"/>
    <s v="FW,MF"/>
    <x v="12"/>
    <n v="24"/>
    <n v="1993"/>
    <n v="13"/>
    <n v="6"/>
    <n v="582"/>
    <x v="1"/>
    <n v="2"/>
    <n v="1"/>
    <n v="0"/>
    <n v="0"/>
    <n v="0"/>
    <n v="0"/>
    <m/>
    <s v="2018-2019"/>
    <n v="40"/>
  </r>
  <r>
    <x v="193"/>
    <s v="eng"/>
    <s v="ENG"/>
    <s v="MF,FW"/>
    <x v="12"/>
    <n v="25"/>
    <n v="1992"/>
    <n v="19"/>
    <n v="18"/>
    <n v="1618"/>
    <x v="2"/>
    <n v="5"/>
    <n v="2"/>
    <n v="0"/>
    <n v="0"/>
    <n v="1"/>
    <n v="0"/>
    <m/>
    <s v="2018-2019"/>
    <n v="40"/>
  </r>
  <r>
    <x v="199"/>
    <s v="se"/>
    <s v="SWE"/>
    <s v="DF"/>
    <x v="4"/>
    <n v="24"/>
    <n v="1993"/>
    <n v="19"/>
    <n v="19"/>
    <n v="1710"/>
    <x v="2"/>
    <n v="1"/>
    <n v="2"/>
    <n v="0"/>
    <n v="0"/>
    <n v="3"/>
    <n v="0"/>
    <m/>
    <s v="2018-2019"/>
    <n v="42"/>
  </r>
  <r>
    <x v="203"/>
    <s v="no"/>
    <s v="NOR"/>
    <s v="DF,MF"/>
    <x v="4"/>
    <n v="28"/>
    <n v="1989"/>
    <n v="7"/>
    <n v="6"/>
    <n v="561"/>
    <x v="0"/>
    <n v="0"/>
    <n v="0"/>
    <n v="0"/>
    <n v="0"/>
    <n v="1"/>
    <n v="0"/>
    <m/>
    <s v="2018-2019"/>
    <n v="42"/>
  </r>
  <r>
    <x v="204"/>
    <s v="no"/>
    <s v="NOR"/>
    <s v="MF,DF"/>
    <x v="4"/>
    <n v="25"/>
    <n v="1993"/>
    <n v="5"/>
    <n v="3"/>
    <n v="309"/>
    <x v="0"/>
    <n v="0"/>
    <n v="0"/>
    <n v="0"/>
    <n v="0"/>
    <n v="1"/>
    <n v="0"/>
    <m/>
    <s v="2018-2019"/>
    <n v="42"/>
  </r>
  <r>
    <x v="358"/>
    <s v="ie"/>
    <s v="IRL"/>
    <s v="GK"/>
    <x v="10"/>
    <n v="31"/>
    <n v="1987"/>
    <n v="14"/>
    <n v="14"/>
    <n v="1205"/>
    <x v="0"/>
    <n v="0"/>
    <n v="0"/>
    <n v="0"/>
    <n v="0"/>
    <n v="0"/>
    <n v="0"/>
    <m/>
    <s v="2018-2019"/>
    <n v="16"/>
  </r>
  <r>
    <x v="359"/>
    <s v="de"/>
    <s v="GER"/>
    <s v="MF"/>
    <x v="12"/>
    <n v="29"/>
    <n v="1989"/>
    <n v="8"/>
    <n v="8"/>
    <n v="597"/>
    <x v="0"/>
    <n v="0"/>
    <n v="0"/>
    <n v="0"/>
    <n v="0"/>
    <n v="0"/>
    <n v="0"/>
    <m/>
    <s v="2018-2019"/>
    <n v="40"/>
  </r>
  <r>
    <x v="208"/>
    <s v="eng"/>
    <s v="ENG"/>
    <s v="MF"/>
    <x v="10"/>
    <n v="16"/>
    <n v="2002"/>
    <n v="2"/>
    <n v="1"/>
    <n v="123"/>
    <x v="0"/>
    <n v="0"/>
    <n v="0"/>
    <n v="0"/>
    <n v="0"/>
    <n v="0"/>
    <n v="0"/>
    <m/>
    <s v="2018-2019"/>
    <n v="16"/>
  </r>
  <r>
    <x v="209"/>
    <s v="eng"/>
    <s v="ENG"/>
    <s v="DF"/>
    <x v="7"/>
    <n v="19"/>
    <n v="1998"/>
    <n v="16"/>
    <n v="14"/>
    <n v="1261"/>
    <x v="0"/>
    <n v="1"/>
    <n v="0"/>
    <n v="0"/>
    <n v="0"/>
    <n v="0"/>
    <n v="0"/>
    <m/>
    <s v="2018-2019"/>
    <n v="30"/>
  </r>
  <r>
    <x v="361"/>
    <s v="eng"/>
    <s v="ENG"/>
    <s v="DF"/>
    <x v="12"/>
    <n v="24"/>
    <n v="1994"/>
    <n v="19"/>
    <n v="17"/>
    <n v="1520"/>
    <x v="5"/>
    <n v="0"/>
    <n v="3"/>
    <n v="0"/>
    <n v="0"/>
    <n v="0"/>
    <n v="0"/>
    <m/>
    <s v="2018-2019"/>
    <n v="40"/>
  </r>
  <r>
    <x v="541"/>
    <s v="eng"/>
    <s v="ENG"/>
    <s v="DF"/>
    <x v="14"/>
    <n v="24"/>
    <n v="1993"/>
    <n v="20"/>
    <n v="20"/>
    <n v="1800"/>
    <x v="1"/>
    <n v="1"/>
    <n v="1"/>
    <n v="0"/>
    <n v="0"/>
    <n v="2"/>
    <n v="0"/>
    <m/>
    <s v="2018-2019"/>
    <n v="-3"/>
  </r>
  <r>
    <x v="210"/>
    <s v="ie"/>
    <s v="IRL"/>
    <s v="DF"/>
    <x v="5"/>
    <n v="25"/>
    <n v="1993"/>
    <n v="4"/>
    <n v="2"/>
    <n v="181"/>
    <x v="0"/>
    <n v="0"/>
    <n v="0"/>
    <n v="0"/>
    <n v="0"/>
    <n v="1"/>
    <n v="0"/>
    <m/>
    <s v="2018-2019"/>
    <n v="47"/>
  </r>
  <r>
    <x v="211"/>
    <s v="ie"/>
    <s v="IRL"/>
    <s v="MF"/>
    <x v="10"/>
    <n v="21"/>
    <n v="1997"/>
    <n v="6"/>
    <n v="6"/>
    <n v="540"/>
    <x v="1"/>
    <n v="2"/>
    <n v="1"/>
    <n v="0"/>
    <n v="0"/>
    <n v="0"/>
    <n v="0"/>
    <m/>
    <s v="2018-2019"/>
    <n v="16"/>
  </r>
  <r>
    <x v="212"/>
    <s v="eng"/>
    <s v="ENG"/>
    <s v="DF,MF"/>
    <x v="2"/>
    <n v="20"/>
    <n v="1998"/>
    <n v="19"/>
    <n v="18"/>
    <n v="1654"/>
    <x v="0"/>
    <n v="1"/>
    <n v="0"/>
    <n v="0"/>
    <n v="0"/>
    <n v="3"/>
    <n v="0"/>
    <m/>
    <s v="2018-2019"/>
    <n v="12"/>
  </r>
  <r>
    <x v="213"/>
    <s v="ie"/>
    <s v="IRL"/>
    <s v="GK"/>
    <x v="14"/>
    <n v="23"/>
    <n v="1994"/>
    <n v="20"/>
    <n v="20"/>
    <n v="1800"/>
    <x v="0"/>
    <n v="0"/>
    <n v="0"/>
    <n v="0"/>
    <n v="0"/>
    <n v="1"/>
    <n v="0"/>
    <m/>
    <s v="2018-2019"/>
    <n v="-3"/>
  </r>
  <r>
    <x v="215"/>
    <s v="eng"/>
    <s v="ENG"/>
    <s v="FW"/>
    <x v="9"/>
    <n v="16"/>
    <n v="2002"/>
    <n v="1"/>
    <n v="0"/>
    <n v="1"/>
    <x v="0"/>
    <n v="1"/>
    <n v="0"/>
    <n v="0"/>
    <n v="0"/>
    <n v="0"/>
    <n v="0"/>
    <m/>
    <s v="2018-2019"/>
    <n v="54"/>
  </r>
  <r>
    <x v="216"/>
    <s v="eng"/>
    <s v="ENG"/>
    <s v="FW"/>
    <x v="5"/>
    <n v="24"/>
    <n v="1994"/>
    <n v="4"/>
    <n v="3"/>
    <n v="217"/>
    <x v="0"/>
    <n v="0"/>
    <n v="0"/>
    <n v="0"/>
    <n v="0"/>
    <n v="0"/>
    <n v="0"/>
    <m/>
    <s v="2018-2019"/>
    <n v="47"/>
  </r>
  <r>
    <x v="218"/>
    <s v="eng"/>
    <s v="ENG"/>
    <s v="DF"/>
    <x v="4"/>
    <n v="24"/>
    <n v="1993"/>
    <n v="16"/>
    <n v="16"/>
    <n v="1420"/>
    <x v="1"/>
    <n v="0"/>
    <n v="1"/>
    <n v="0"/>
    <n v="0"/>
    <n v="2"/>
    <n v="0"/>
    <m/>
    <s v="2018-2019"/>
    <n v="42"/>
  </r>
  <r>
    <x v="487"/>
    <s v="eng"/>
    <s v="ENG"/>
    <s v="FW"/>
    <x v="7"/>
    <n v="22"/>
    <n v="1996"/>
    <n v="5"/>
    <n v="2"/>
    <n v="146"/>
    <x v="2"/>
    <n v="0"/>
    <n v="2"/>
    <n v="0"/>
    <n v="0"/>
    <n v="0"/>
    <n v="0"/>
    <m/>
    <s v="2018-2019"/>
    <n v="30"/>
  </r>
  <r>
    <x v="221"/>
    <s v="eng"/>
    <s v="ENG"/>
    <s v="MF,FW"/>
    <x v="11"/>
    <n v="17"/>
    <n v="2001"/>
    <n v="3"/>
    <n v="0"/>
    <n v="14"/>
    <x v="0"/>
    <n v="0"/>
    <n v="0"/>
    <n v="0"/>
    <n v="0"/>
    <n v="0"/>
    <n v="0"/>
    <m/>
    <s v="2018-2019"/>
    <n v="22"/>
  </r>
  <r>
    <x v="223"/>
    <s v="eng"/>
    <s v="ENG"/>
    <s v="DF,MF"/>
    <x v="7"/>
    <n v="22"/>
    <n v="1996"/>
    <n v="14"/>
    <n v="7"/>
    <n v="756"/>
    <x v="0"/>
    <n v="2"/>
    <n v="0"/>
    <n v="0"/>
    <n v="0"/>
    <n v="0"/>
    <n v="0"/>
    <m/>
    <s v="2018-2019"/>
    <n v="30"/>
  </r>
  <r>
    <x v="542"/>
    <s v="ws"/>
    <s v="SAM"/>
    <s v="MF"/>
    <x v="14"/>
    <n v="26"/>
    <n v="1991"/>
    <n v="4"/>
    <n v="2"/>
    <n v="157"/>
    <x v="0"/>
    <n v="0"/>
    <n v="0"/>
    <n v="0"/>
    <n v="0"/>
    <n v="0"/>
    <n v="0"/>
    <m/>
    <s v="2018-2019"/>
    <n v="-3"/>
  </r>
  <r>
    <x v="543"/>
    <s v="dk"/>
    <s v="DEN"/>
    <s v="FW"/>
    <x v="5"/>
    <n v="30"/>
    <n v="1988"/>
    <n v="3"/>
    <n v="2"/>
    <n v="173"/>
    <x v="0"/>
    <n v="0"/>
    <n v="0"/>
    <n v="0"/>
    <n v="0"/>
    <n v="0"/>
    <n v="0"/>
    <m/>
    <s v="2018-2019"/>
    <n v="47"/>
  </r>
  <r>
    <x v="228"/>
    <s v="wls"/>
    <s v="WAL"/>
    <s v="DF"/>
    <x v="7"/>
    <n v="29"/>
    <n v="1989"/>
    <n v="19"/>
    <n v="19"/>
    <n v="1710"/>
    <x v="1"/>
    <n v="3"/>
    <n v="1"/>
    <n v="0"/>
    <n v="0"/>
    <n v="3"/>
    <n v="0"/>
    <m/>
    <s v="2018-2019"/>
    <n v="30"/>
  </r>
  <r>
    <x v="230"/>
    <s v="eng"/>
    <s v="ENG"/>
    <s v="FW,MF"/>
    <x v="11"/>
    <n v="19"/>
    <n v="1999"/>
    <n v="9"/>
    <n v="7"/>
    <n v="578"/>
    <x v="1"/>
    <n v="0"/>
    <n v="1"/>
    <n v="0"/>
    <n v="0"/>
    <n v="0"/>
    <n v="0"/>
    <m/>
    <s v="2018-2019"/>
    <n v="22"/>
  </r>
  <r>
    <x v="231"/>
    <s v="ie"/>
    <s v="IRL"/>
    <s v="MF,DF"/>
    <x v="11"/>
    <n v="30"/>
    <n v="1987"/>
    <n v="17"/>
    <n v="14"/>
    <n v="1274"/>
    <x v="0"/>
    <n v="0"/>
    <n v="0"/>
    <n v="0"/>
    <n v="0"/>
    <n v="2"/>
    <n v="0"/>
    <m/>
    <s v="2018-2019"/>
    <n v="22"/>
  </r>
  <r>
    <x v="544"/>
    <s v="wls"/>
    <s v="WAL"/>
    <s v="DF"/>
    <x v="14"/>
    <n v="29"/>
    <n v="1988"/>
    <n v="18"/>
    <n v="13"/>
    <n v="1314"/>
    <x v="0"/>
    <n v="0"/>
    <n v="0"/>
    <n v="0"/>
    <n v="0"/>
    <n v="4"/>
    <n v="1"/>
    <m/>
    <s v="2018-2019"/>
    <n v="-3"/>
  </r>
  <r>
    <x v="233"/>
    <s v="eng"/>
    <s v="ENG"/>
    <s v="FW"/>
    <x v="5"/>
    <n v="24"/>
    <n v="1994"/>
    <n v="19"/>
    <n v="18"/>
    <n v="1595"/>
    <x v="19"/>
    <n v="7"/>
    <n v="15"/>
    <n v="4"/>
    <n v="4"/>
    <n v="2"/>
    <n v="0"/>
    <m/>
    <s v="2018-2019"/>
    <n v="47"/>
  </r>
  <r>
    <x v="488"/>
    <s v="nz"/>
    <s v="NZL"/>
    <s v="MF"/>
    <x v="2"/>
    <n v="24"/>
    <n v="1993"/>
    <n v="1"/>
    <n v="0"/>
    <n v="3"/>
    <x v="0"/>
    <n v="0"/>
    <n v="0"/>
    <n v="0"/>
    <n v="0"/>
    <n v="0"/>
    <n v="0"/>
    <m/>
    <s v="2018-2019"/>
    <n v="12"/>
  </r>
  <r>
    <x v="545"/>
    <s v="eng"/>
    <s v="ENG"/>
    <s v="FW"/>
    <x v="14"/>
    <n v="23"/>
    <n v="1995"/>
    <n v="20"/>
    <n v="18"/>
    <n v="1653"/>
    <x v="1"/>
    <n v="1"/>
    <n v="1"/>
    <n v="0"/>
    <n v="0"/>
    <n v="0"/>
    <n v="0"/>
    <m/>
    <s v="2018-2019"/>
    <n v="-3"/>
  </r>
  <r>
    <x v="363"/>
    <s v="jm"/>
    <s v="JAM"/>
    <s v="FW,MF"/>
    <x v="9"/>
    <n v="16"/>
    <n v="2001"/>
    <n v="3"/>
    <n v="1"/>
    <n v="102"/>
    <x v="0"/>
    <n v="0"/>
    <n v="0"/>
    <n v="0"/>
    <n v="0"/>
    <n v="0"/>
    <n v="0"/>
    <m/>
    <s v="2018-2019"/>
    <n v="54"/>
  </r>
  <r>
    <x v="546"/>
    <s v="eng"/>
    <s v="ENG"/>
    <s v="DF"/>
    <x v="12"/>
    <n v="23"/>
    <n v="1995"/>
    <n v="12"/>
    <n v="12"/>
    <n v="1035"/>
    <x v="0"/>
    <n v="1"/>
    <n v="0"/>
    <n v="0"/>
    <n v="0"/>
    <n v="3"/>
    <n v="0"/>
    <m/>
    <s v="2018-2019"/>
    <n v="40"/>
  </r>
  <r>
    <x v="489"/>
    <s v="de"/>
    <s v="GER"/>
    <s v="FW"/>
    <x v="5"/>
    <n v="22"/>
    <n v="1996"/>
    <n v="4"/>
    <n v="1"/>
    <n v="120"/>
    <x v="0"/>
    <n v="0"/>
    <n v="0"/>
    <n v="0"/>
    <n v="0"/>
    <n v="0"/>
    <n v="0"/>
    <m/>
    <s v="2018-2019"/>
    <n v="47"/>
  </r>
  <r>
    <x v="490"/>
    <s v="fr"/>
    <s v="FRA"/>
    <s v="GK"/>
    <x v="9"/>
    <n v="26"/>
    <n v="1992"/>
    <n v="13"/>
    <n v="13"/>
    <n v="1170"/>
    <x v="0"/>
    <n v="0"/>
    <n v="0"/>
    <n v="0"/>
    <n v="0"/>
    <n v="0"/>
    <n v="0"/>
    <m/>
    <s v="2018-2019"/>
    <n v="54"/>
  </r>
  <r>
    <x v="240"/>
    <s v="eng"/>
    <s v="ENG"/>
    <s v="DF"/>
    <x v="13"/>
    <n v="18"/>
    <n v="2000"/>
    <n v="19"/>
    <n v="19"/>
    <n v="1693"/>
    <x v="0"/>
    <n v="0"/>
    <n v="0"/>
    <n v="0"/>
    <n v="0"/>
    <n v="1"/>
    <n v="0"/>
    <m/>
    <s v="2018-2019"/>
    <n v="25"/>
  </r>
  <r>
    <x v="547"/>
    <s v="eng"/>
    <s v="ENG"/>
    <s v="MF"/>
    <x v="13"/>
    <n v="18"/>
    <n v="1999"/>
    <n v="1"/>
    <n v="0"/>
    <n v="13"/>
    <x v="0"/>
    <n v="0"/>
    <n v="0"/>
    <n v="0"/>
    <n v="0"/>
    <n v="0"/>
    <n v="0"/>
    <m/>
    <s v="2018-2019"/>
    <n v="25"/>
  </r>
  <r>
    <x v="245"/>
    <s v="nir"/>
    <s v="NIR"/>
    <s v="MF"/>
    <x v="7"/>
    <n v="30"/>
    <n v="1988"/>
    <n v="19"/>
    <n v="16"/>
    <n v="1491"/>
    <x v="1"/>
    <n v="1"/>
    <n v="1"/>
    <n v="0"/>
    <n v="0"/>
    <n v="3"/>
    <n v="0"/>
    <m/>
    <s v="2018-2019"/>
    <n v="30"/>
  </r>
  <r>
    <x v="548"/>
    <s v="sct"/>
    <s v="SCO"/>
    <s v="MF,DF"/>
    <x v="14"/>
    <n v="21"/>
    <n v="1997"/>
    <n v="7"/>
    <n v="7"/>
    <n v="630"/>
    <x v="0"/>
    <n v="1"/>
    <n v="0"/>
    <n v="0"/>
    <n v="0"/>
    <n v="0"/>
    <n v="0"/>
    <m/>
    <s v="2018-2019"/>
    <n v="-3"/>
  </r>
  <r>
    <x v="246"/>
    <s v="wls"/>
    <s v="WAL"/>
    <s v="MF"/>
    <x v="7"/>
    <n v="25"/>
    <n v="1992"/>
    <n v="1"/>
    <n v="1"/>
    <n v="71"/>
    <x v="0"/>
    <n v="0"/>
    <n v="0"/>
    <n v="0"/>
    <n v="0"/>
    <n v="0"/>
    <n v="0"/>
    <m/>
    <s v="2018-2019"/>
    <n v="30"/>
  </r>
  <r>
    <x v="491"/>
    <s v="is"/>
    <s v="ISL"/>
    <s v="FW,MF"/>
    <x v="7"/>
    <n v="29"/>
    <n v="1988"/>
    <n v="5"/>
    <n v="2"/>
    <n v="208"/>
    <x v="0"/>
    <n v="0"/>
    <n v="0"/>
    <n v="0"/>
    <n v="0"/>
    <n v="0"/>
    <n v="0"/>
    <m/>
    <s v="2018-2019"/>
    <n v="30"/>
  </r>
  <r>
    <x v="492"/>
    <s v="ch"/>
    <s v="SUI"/>
    <s v="FW,MF"/>
    <x v="4"/>
    <n v="27"/>
    <n v="1990"/>
    <n v="16"/>
    <n v="12"/>
    <n v="1067"/>
    <x v="5"/>
    <n v="6"/>
    <n v="3"/>
    <n v="0"/>
    <n v="0"/>
    <n v="1"/>
    <n v="0"/>
    <m/>
    <s v="2018-2019"/>
    <n v="42"/>
  </r>
  <r>
    <x v="250"/>
    <s v="eng"/>
    <s v="ENG"/>
    <s v="DF"/>
    <x v="7"/>
    <n v="26"/>
    <n v="1992"/>
    <n v="8"/>
    <n v="3"/>
    <n v="367"/>
    <x v="0"/>
    <n v="0"/>
    <n v="0"/>
    <n v="0"/>
    <n v="0"/>
    <n v="0"/>
    <n v="0"/>
    <m/>
    <s v="2018-2019"/>
    <n v="30"/>
  </r>
  <r>
    <x v="251"/>
    <s v="jm"/>
    <s v="JAM"/>
    <s v="GK"/>
    <x v="0"/>
    <n v="27"/>
    <n v="1991"/>
    <n v="12"/>
    <n v="10"/>
    <n v="993"/>
    <x v="0"/>
    <n v="0"/>
    <n v="0"/>
    <n v="0"/>
    <n v="0"/>
    <n v="0"/>
    <n v="0"/>
    <m/>
    <s v="2018-2019"/>
    <n v="23"/>
  </r>
  <r>
    <x v="253"/>
    <s v="eng"/>
    <s v="ENG"/>
    <s v="MF"/>
    <x v="7"/>
    <n v="27"/>
    <n v="1990"/>
    <n v="19"/>
    <n v="19"/>
    <n v="1652"/>
    <x v="2"/>
    <n v="2"/>
    <n v="2"/>
    <n v="0"/>
    <n v="0"/>
    <n v="7"/>
    <n v="0"/>
    <m/>
    <s v="2018-2019"/>
    <n v="30"/>
  </r>
  <r>
    <x v="255"/>
    <s v="wls"/>
    <s v="WAL"/>
    <s v="MF,DF"/>
    <x v="11"/>
    <n v="27"/>
    <n v="1990"/>
    <n v="8"/>
    <n v="6"/>
    <n v="514"/>
    <x v="0"/>
    <n v="0"/>
    <n v="0"/>
    <n v="0"/>
    <n v="0"/>
    <n v="1"/>
    <n v="1"/>
    <m/>
    <s v="2018-2019"/>
    <n v="22"/>
  </r>
  <r>
    <x v="256"/>
    <s v="nz"/>
    <s v="NZL"/>
    <s v="DF,MF"/>
    <x v="0"/>
    <n v="28"/>
    <n v="1989"/>
    <n v="16"/>
    <n v="15"/>
    <n v="1368"/>
    <x v="0"/>
    <n v="2"/>
    <n v="0"/>
    <n v="0"/>
    <n v="0"/>
    <n v="1"/>
    <n v="0"/>
    <m/>
    <s v="2018-2019"/>
    <n v="23"/>
  </r>
  <r>
    <x v="366"/>
    <s v="eng"/>
    <s v="ENG"/>
    <s v="MF,FW"/>
    <x v="11"/>
    <n v="20"/>
    <n v="1998"/>
    <n v="17"/>
    <n v="10"/>
    <n v="1001"/>
    <x v="8"/>
    <n v="0"/>
    <n v="4"/>
    <n v="0"/>
    <n v="0"/>
    <n v="3"/>
    <n v="0"/>
    <m/>
    <s v="2018-2019"/>
    <n v="22"/>
  </r>
  <r>
    <x v="259"/>
    <s v="ma"/>
    <s v="MAR"/>
    <s v="FW,MF"/>
    <x v="13"/>
    <n v="22"/>
    <n v="1996"/>
    <n v="15"/>
    <n v="8"/>
    <n v="795"/>
    <x v="1"/>
    <n v="0"/>
    <n v="1"/>
    <n v="0"/>
    <n v="0"/>
    <n v="0"/>
    <n v="0"/>
    <m/>
    <s v="2018-2019"/>
    <n v="25"/>
  </r>
  <r>
    <x v="549"/>
    <s v="eng"/>
    <s v="ENG"/>
    <s v="FW,MF"/>
    <x v="0"/>
    <n v="24"/>
    <n v="1994"/>
    <n v="14"/>
    <n v="1"/>
    <n v="222"/>
    <x v="1"/>
    <n v="1"/>
    <n v="1"/>
    <n v="0"/>
    <n v="0"/>
    <n v="0"/>
    <n v="0"/>
    <m/>
    <s v="2018-2019"/>
    <n v="23"/>
  </r>
  <r>
    <x v="445"/>
    <s v="eng"/>
    <s v="ENG"/>
    <s v="MF,FW"/>
    <x v="9"/>
    <n v="16"/>
    <n v="2002"/>
    <n v="2"/>
    <n v="0"/>
    <n v="12"/>
    <x v="0"/>
    <n v="0"/>
    <n v="0"/>
    <n v="0"/>
    <n v="0"/>
    <n v="0"/>
    <n v="0"/>
    <m/>
    <s v="2018-2019"/>
    <n v="54"/>
  </r>
  <r>
    <x v="268"/>
    <s v="eng"/>
    <s v="ENG"/>
    <s v="FW,DF"/>
    <x v="12"/>
    <n v="21"/>
    <n v="1997"/>
    <n v="17"/>
    <n v="8"/>
    <n v="835"/>
    <x v="0"/>
    <n v="0"/>
    <n v="0"/>
    <n v="0"/>
    <n v="0"/>
    <n v="0"/>
    <n v="0"/>
    <m/>
    <s v="2018-2019"/>
    <n v="40"/>
  </r>
  <r>
    <x v="550"/>
    <s v="nl"/>
    <s v="NED"/>
    <s v="GK"/>
    <x v="9"/>
    <n v="28"/>
    <n v="1990"/>
    <n v="7"/>
    <n v="7"/>
    <n v="630"/>
    <x v="0"/>
    <n v="0"/>
    <n v="0"/>
    <n v="0"/>
    <n v="0"/>
    <n v="0"/>
    <n v="0"/>
    <m/>
    <s v="2018-2019"/>
    <n v="54"/>
  </r>
  <r>
    <x v="551"/>
    <s v="jm"/>
    <s v="JAM"/>
    <s v="DF"/>
    <x v="11"/>
    <n v="25"/>
    <n v="1993"/>
    <n v="14"/>
    <n v="14"/>
    <n v="1260"/>
    <x v="0"/>
    <n v="1"/>
    <n v="0"/>
    <n v="0"/>
    <n v="0"/>
    <n v="3"/>
    <n v="0"/>
    <m/>
    <s v="2018-2019"/>
    <n v="22"/>
  </r>
  <r>
    <x v="368"/>
    <s v="jm"/>
    <s v="JAM"/>
    <s v="FW,MF"/>
    <x v="12"/>
    <n v="18"/>
    <n v="1999"/>
    <n v="5"/>
    <n v="0"/>
    <n v="28"/>
    <x v="0"/>
    <n v="0"/>
    <n v="0"/>
    <n v="0"/>
    <n v="0"/>
    <n v="0"/>
    <n v="0"/>
    <m/>
    <s v="2018-2019"/>
    <n v="40"/>
  </r>
  <r>
    <x v="552"/>
    <s v="eng"/>
    <s v="ENG"/>
    <s v="FW,MF"/>
    <x v="14"/>
    <m/>
    <m/>
    <n v="7"/>
    <n v="3"/>
    <n v="322"/>
    <x v="0"/>
    <n v="1"/>
    <n v="0"/>
    <n v="0"/>
    <n v="0"/>
    <n v="0"/>
    <n v="0"/>
    <m/>
    <s v="2018-2019"/>
    <n v="-3"/>
  </r>
  <r>
    <x v="273"/>
    <s v="nir"/>
    <s v="NIR"/>
    <s v="FW,MF"/>
    <x v="2"/>
    <n v="23"/>
    <n v="1994"/>
    <n v="17"/>
    <n v="16"/>
    <n v="1386"/>
    <x v="2"/>
    <n v="2"/>
    <n v="2"/>
    <n v="0"/>
    <n v="0"/>
    <n v="1"/>
    <n v="0"/>
    <m/>
    <s v="2018-2019"/>
    <n v="12"/>
  </r>
  <r>
    <x v="553"/>
    <s v="eng"/>
    <s v="ENG"/>
    <s v="MF,FW"/>
    <x v="11"/>
    <n v="17"/>
    <n v="2001"/>
    <n v="2"/>
    <n v="0"/>
    <n v="45"/>
    <x v="0"/>
    <n v="0"/>
    <n v="0"/>
    <n v="0"/>
    <n v="0"/>
    <n v="1"/>
    <n v="0"/>
    <m/>
    <s v="2018-2019"/>
    <n v="22"/>
  </r>
  <r>
    <x v="447"/>
    <s v="nl"/>
    <s v="NED"/>
    <s v="DF"/>
    <x v="2"/>
    <n v="26"/>
    <n v="1992"/>
    <n v="13"/>
    <n v="11"/>
    <n v="854"/>
    <x v="0"/>
    <n v="1"/>
    <n v="0"/>
    <n v="0"/>
    <n v="0"/>
    <n v="1"/>
    <n v="0"/>
    <m/>
    <s v="2018-2019"/>
    <n v="12"/>
  </r>
  <r>
    <x v="448"/>
    <s v="eng"/>
    <s v="ENG"/>
    <s v="GK"/>
    <x v="13"/>
    <n v="21"/>
    <n v="1996"/>
    <n v="20"/>
    <n v="20"/>
    <n v="1800"/>
    <x v="0"/>
    <n v="0"/>
    <n v="0"/>
    <n v="0"/>
    <n v="0"/>
    <n v="0"/>
    <n v="0"/>
    <m/>
    <s v="2018-2019"/>
    <n v="25"/>
  </r>
  <r>
    <x v="494"/>
    <s v="eng"/>
    <s v="ENG"/>
    <s v="DF"/>
    <x v="11"/>
    <n v="28"/>
    <n v="1989"/>
    <n v="20"/>
    <n v="20"/>
    <n v="1800"/>
    <x v="0"/>
    <n v="2"/>
    <n v="0"/>
    <n v="0"/>
    <n v="0"/>
    <n v="0"/>
    <n v="0"/>
    <m/>
    <s v="2018-2019"/>
    <n v="22"/>
  </r>
  <r>
    <x v="373"/>
    <s v="eng"/>
    <s v="ENG"/>
    <s v="GK"/>
    <x v="10"/>
    <n v="23"/>
    <n v="1994"/>
    <n v="4"/>
    <n v="3"/>
    <n v="325"/>
    <x v="0"/>
    <n v="0"/>
    <n v="0"/>
    <n v="0"/>
    <n v="0"/>
    <n v="0"/>
    <n v="0"/>
    <m/>
    <s v="2018-2019"/>
    <n v="16"/>
  </r>
  <r>
    <x v="276"/>
    <s v="sct"/>
    <s v="SCO"/>
    <s v="DF,MF"/>
    <x v="7"/>
    <n v="24"/>
    <n v="1993"/>
    <n v="6"/>
    <n v="5"/>
    <n v="395"/>
    <x v="0"/>
    <n v="1"/>
    <n v="0"/>
    <n v="0"/>
    <n v="0"/>
    <n v="1"/>
    <n v="0"/>
    <m/>
    <s v="2018-2019"/>
    <n v="30"/>
  </r>
  <r>
    <x v="277"/>
    <s v="wls"/>
    <s v="WAL"/>
    <s v="MF"/>
    <x v="4"/>
    <n v="26"/>
    <n v="1991"/>
    <n v="14"/>
    <n v="14"/>
    <n v="1221"/>
    <x v="0"/>
    <n v="2"/>
    <n v="0"/>
    <n v="0"/>
    <n v="0"/>
    <n v="1"/>
    <n v="0"/>
    <m/>
    <s v="2018-2019"/>
    <n v="42"/>
  </r>
  <r>
    <x v="554"/>
    <s v="ie"/>
    <s v="IRL"/>
    <s v="DF,MF"/>
    <x v="10"/>
    <n v="31"/>
    <n v="1986"/>
    <n v="7"/>
    <n v="4"/>
    <n v="411"/>
    <x v="0"/>
    <n v="0"/>
    <n v="0"/>
    <n v="0"/>
    <n v="0"/>
    <n v="0"/>
    <n v="0"/>
    <m/>
    <s v="2018-2019"/>
    <n v="16"/>
  </r>
  <r>
    <x v="279"/>
    <s v="eng"/>
    <s v="ENG"/>
    <s v="DF"/>
    <x v="5"/>
    <n v="30"/>
    <n v="1988"/>
    <n v="20"/>
    <n v="20"/>
    <n v="1800"/>
    <x v="5"/>
    <n v="0"/>
    <n v="3"/>
    <n v="0"/>
    <n v="0"/>
    <n v="1"/>
    <n v="0"/>
    <m/>
    <s v="2018-2019"/>
    <n v="47"/>
  </r>
  <r>
    <x v="555"/>
    <s v="de"/>
    <s v="GER"/>
    <s v="FW,MF"/>
    <x v="9"/>
    <n v="26"/>
    <n v="1991"/>
    <n v="3"/>
    <n v="0"/>
    <n v="3"/>
    <x v="0"/>
    <n v="0"/>
    <n v="0"/>
    <n v="0"/>
    <n v="0"/>
    <n v="0"/>
    <n v="0"/>
    <m/>
    <s v="2018-2019"/>
    <n v="54"/>
  </r>
  <r>
    <x v="281"/>
    <s v="eng"/>
    <s v="ENG"/>
    <s v="DF"/>
    <x v="2"/>
    <n v="18"/>
    <n v="1999"/>
    <n v="12"/>
    <n v="11"/>
    <n v="975"/>
    <x v="0"/>
    <n v="1"/>
    <n v="0"/>
    <n v="0"/>
    <n v="0"/>
    <n v="0"/>
    <n v="0"/>
    <m/>
    <s v="2018-2019"/>
    <n v="12"/>
  </r>
  <r>
    <x v="495"/>
    <s v="be"/>
    <s v="BEL"/>
    <s v="FW,MF"/>
    <x v="5"/>
    <n v="25"/>
    <n v="1993"/>
    <n v="18"/>
    <n v="14"/>
    <n v="1253"/>
    <x v="5"/>
    <n v="4"/>
    <n v="3"/>
    <n v="0"/>
    <n v="0"/>
    <n v="0"/>
    <n v="0"/>
    <m/>
    <s v="2018-2019"/>
    <n v="47"/>
  </r>
  <r>
    <x v="290"/>
    <s v="jm"/>
    <s v="JAM"/>
    <s v="DF"/>
    <x v="10"/>
    <n v="28"/>
    <n v="1990"/>
    <n v="19"/>
    <n v="19"/>
    <n v="1710"/>
    <x v="2"/>
    <n v="1"/>
    <n v="2"/>
    <n v="0"/>
    <n v="0"/>
    <n v="4"/>
    <n v="0"/>
    <m/>
    <s v="2018-2019"/>
    <n v="16"/>
  </r>
  <r>
    <x v="379"/>
    <s v="at"/>
    <s v="AUT"/>
    <s v="MF,DF"/>
    <x v="9"/>
    <n v="27"/>
    <n v="1991"/>
    <n v="5"/>
    <n v="1"/>
    <n v="104"/>
    <x v="0"/>
    <n v="0"/>
    <n v="0"/>
    <n v="0"/>
    <n v="0"/>
    <n v="0"/>
    <n v="0"/>
    <m/>
    <s v="2018-2019"/>
    <n v="54"/>
  </r>
  <r>
    <x v="293"/>
    <s v="nl"/>
    <s v="NED"/>
    <s v="FW"/>
    <x v="9"/>
    <n v="22"/>
    <n v="1996"/>
    <n v="20"/>
    <n v="20"/>
    <n v="1779"/>
    <x v="13"/>
    <n v="10"/>
    <n v="22"/>
    <n v="0"/>
    <n v="0"/>
    <n v="1"/>
    <n v="0"/>
    <m/>
    <s v="2018-2019"/>
    <n v="54"/>
  </r>
  <r>
    <x v="556"/>
    <s v="jm"/>
    <s v="JAM"/>
    <s v="DF,MF"/>
    <x v="0"/>
    <n v="22"/>
    <n v="1996"/>
    <n v="12"/>
    <n v="6"/>
    <n v="479"/>
    <x v="0"/>
    <n v="0"/>
    <n v="0"/>
    <n v="0"/>
    <n v="0"/>
    <n v="0"/>
    <n v="0"/>
    <m/>
    <s v="2018-2019"/>
    <n v="23"/>
  </r>
  <r>
    <x v="294"/>
    <s v="be"/>
    <s v="BEL"/>
    <s v="MF,FW"/>
    <x v="11"/>
    <n v="26"/>
    <n v="1992"/>
    <n v="15"/>
    <n v="9"/>
    <n v="715"/>
    <x v="1"/>
    <n v="0"/>
    <n v="1"/>
    <n v="0"/>
    <n v="0"/>
    <n v="0"/>
    <n v="0"/>
    <m/>
    <s v="2018-2019"/>
    <n v="2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B1DDE06-4C69-4F78-B883-92A9A1E81FC4}" name="PivotTable1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W38:AA54" firstHeaderRow="0" firstDataRow="1" firstDataCol="1"/>
  <pivotFields count="20">
    <pivotField axis="axisRow" showAll="0">
      <items count="558">
        <item x="0"/>
        <item x="298"/>
        <item x="299"/>
        <item x="1"/>
        <item x="2"/>
        <item x="381"/>
        <item x="382"/>
        <item x="452"/>
        <item x="3"/>
        <item x="453"/>
        <item x="4"/>
        <item x="5"/>
        <item x="6"/>
        <item x="383"/>
        <item x="7"/>
        <item x="8"/>
        <item x="9"/>
        <item x="10"/>
        <item x="300"/>
        <item x="384"/>
        <item x="500"/>
        <item x="501"/>
        <item x="11"/>
        <item x="385"/>
        <item x="12"/>
        <item x="13"/>
        <item x="14"/>
        <item x="15"/>
        <item x="454"/>
        <item x="502"/>
        <item x="16"/>
        <item x="503"/>
        <item x="504"/>
        <item x="455"/>
        <item x="17"/>
        <item x="386"/>
        <item x="301"/>
        <item x="18"/>
        <item x="19"/>
        <item x="302"/>
        <item x="456"/>
        <item x="303"/>
        <item x="387"/>
        <item x="20"/>
        <item x="457"/>
        <item x="21"/>
        <item x="505"/>
        <item x="22"/>
        <item x="506"/>
        <item x="23"/>
        <item x="24"/>
        <item x="304"/>
        <item x="25"/>
        <item x="26"/>
        <item x="458"/>
        <item x="27"/>
        <item x="28"/>
        <item x="388"/>
        <item x="29"/>
        <item x="507"/>
        <item x="389"/>
        <item x="30"/>
        <item x="305"/>
        <item x="390"/>
        <item x="31"/>
        <item x="508"/>
        <item x="32"/>
        <item x="306"/>
        <item x="307"/>
        <item x="33"/>
        <item x="34"/>
        <item x="35"/>
        <item x="391"/>
        <item x="392"/>
        <item x="308"/>
        <item x="36"/>
        <item x="393"/>
        <item x="394"/>
        <item x="309"/>
        <item x="37"/>
        <item x="38"/>
        <item x="39"/>
        <item x="509"/>
        <item x="510"/>
        <item x="40"/>
        <item x="511"/>
        <item x="310"/>
        <item x="41"/>
        <item x="42"/>
        <item x="43"/>
        <item x="311"/>
        <item x="44"/>
        <item x="395"/>
        <item x="396"/>
        <item x="312"/>
        <item x="45"/>
        <item x="397"/>
        <item x="313"/>
        <item x="46"/>
        <item x="314"/>
        <item x="512"/>
        <item x="47"/>
        <item x="48"/>
        <item x="49"/>
        <item x="459"/>
        <item x="50"/>
        <item x="51"/>
        <item x="460"/>
        <item x="52"/>
        <item x="398"/>
        <item x="315"/>
        <item x="53"/>
        <item x="54"/>
        <item x="399"/>
        <item x="316"/>
        <item x="55"/>
        <item x="56"/>
        <item x="57"/>
        <item x="58"/>
        <item x="59"/>
        <item x="60"/>
        <item x="400"/>
        <item x="401"/>
        <item x="61"/>
        <item x="402"/>
        <item x="62"/>
        <item x="513"/>
        <item x="514"/>
        <item x="63"/>
        <item x="64"/>
        <item x="65"/>
        <item x="403"/>
        <item x="515"/>
        <item x="317"/>
        <item x="66"/>
        <item x="461"/>
        <item x="67"/>
        <item x="404"/>
        <item x="318"/>
        <item x="405"/>
        <item x="406"/>
        <item x="516"/>
        <item x="68"/>
        <item x="407"/>
        <item x="319"/>
        <item x="69"/>
        <item x="517"/>
        <item x="70"/>
        <item x="320"/>
        <item x="518"/>
        <item x="71"/>
        <item x="408"/>
        <item x="72"/>
        <item x="321"/>
        <item x="409"/>
        <item x="410"/>
        <item x="322"/>
        <item x="411"/>
        <item x="519"/>
        <item x="412"/>
        <item x="73"/>
        <item x="74"/>
        <item x="75"/>
        <item x="76"/>
        <item x="413"/>
        <item x="77"/>
        <item x="520"/>
        <item x="78"/>
        <item x="79"/>
        <item x="80"/>
        <item x="323"/>
        <item x="81"/>
        <item x="324"/>
        <item x="82"/>
        <item x="83"/>
        <item x="84"/>
        <item x="414"/>
        <item x="85"/>
        <item x="86"/>
        <item x="325"/>
        <item x="462"/>
        <item x="87"/>
        <item x="463"/>
        <item x="415"/>
        <item x="88"/>
        <item x="464"/>
        <item x="465"/>
        <item x="89"/>
        <item x="90"/>
        <item x="91"/>
        <item x="92"/>
        <item x="93"/>
        <item x="94"/>
        <item x="326"/>
        <item x="95"/>
        <item x="327"/>
        <item x="96"/>
        <item x="97"/>
        <item x="521"/>
        <item x="98"/>
        <item x="328"/>
        <item x="416"/>
        <item x="99"/>
        <item x="100"/>
        <item x="329"/>
        <item x="101"/>
        <item x="330"/>
        <item x="102"/>
        <item x="103"/>
        <item x="104"/>
        <item x="105"/>
        <item x="106"/>
        <item x="107"/>
        <item x="108"/>
        <item x="109"/>
        <item x="417"/>
        <item x="110"/>
        <item x="522"/>
        <item x="111"/>
        <item x="331"/>
        <item x="112"/>
        <item x="113"/>
        <item x="114"/>
        <item x="523"/>
        <item x="524"/>
        <item x="115"/>
        <item x="332"/>
        <item x="418"/>
        <item x="466"/>
        <item x="333"/>
        <item x="116"/>
        <item x="334"/>
        <item x="117"/>
        <item x="118"/>
        <item x="119"/>
        <item x="335"/>
        <item x="467"/>
        <item x="468"/>
        <item x="120"/>
        <item x="336"/>
        <item x="337"/>
        <item x="419"/>
        <item x="420"/>
        <item x="121"/>
        <item x="338"/>
        <item x="525"/>
        <item x="122"/>
        <item x="123"/>
        <item x="124"/>
        <item x="125"/>
        <item x="126"/>
        <item x="526"/>
        <item x="469"/>
        <item x="127"/>
        <item x="339"/>
        <item x="128"/>
        <item x="421"/>
        <item x="129"/>
        <item x="470"/>
        <item x="130"/>
        <item x="131"/>
        <item x="527"/>
        <item x="132"/>
        <item x="422"/>
        <item x="133"/>
        <item x="134"/>
        <item x="340"/>
        <item x="423"/>
        <item x="341"/>
        <item x="471"/>
        <item x="528"/>
        <item x="342"/>
        <item x="135"/>
        <item x="136"/>
        <item x="343"/>
        <item x="137"/>
        <item x="138"/>
        <item x="139"/>
        <item x="472"/>
        <item x="140"/>
        <item x="529"/>
        <item x="141"/>
        <item x="530"/>
        <item x="142"/>
        <item x="143"/>
        <item x="424"/>
        <item x="531"/>
        <item x="144"/>
        <item x="344"/>
        <item x="145"/>
        <item x="473"/>
        <item x="146"/>
        <item x="474"/>
        <item x="147"/>
        <item x="148"/>
        <item x="149"/>
        <item x="532"/>
        <item x="345"/>
        <item x="150"/>
        <item x="151"/>
        <item x="152"/>
        <item x="153"/>
        <item x="154"/>
        <item x="155"/>
        <item x="346"/>
        <item x="156"/>
        <item x="157"/>
        <item x="158"/>
        <item x="159"/>
        <item x="160"/>
        <item x="161"/>
        <item x="425"/>
        <item x="475"/>
        <item x="162"/>
        <item x="476"/>
        <item x="163"/>
        <item x="426"/>
        <item x="164"/>
        <item x="477"/>
        <item x="533"/>
        <item x="165"/>
        <item x="166"/>
        <item x="427"/>
        <item x="167"/>
        <item x="347"/>
        <item x="168"/>
        <item x="169"/>
        <item x="170"/>
        <item x="534"/>
        <item x="428"/>
        <item x="429"/>
        <item x="171"/>
        <item x="430"/>
        <item x="172"/>
        <item x="173"/>
        <item x="535"/>
        <item x="174"/>
        <item x="478"/>
        <item x="536"/>
        <item x="175"/>
        <item x="176"/>
        <item x="537"/>
        <item x="177"/>
        <item x="178"/>
        <item x="179"/>
        <item x="180"/>
        <item x="181"/>
        <item x="182"/>
        <item x="183"/>
        <item x="184"/>
        <item x="348"/>
        <item x="538"/>
        <item x="479"/>
        <item x="185"/>
        <item x="186"/>
        <item x="187"/>
        <item x="188"/>
        <item x="349"/>
        <item x="431"/>
        <item x="480"/>
        <item x="481"/>
        <item x="350"/>
        <item x="482"/>
        <item x="432"/>
        <item x="189"/>
        <item x="351"/>
        <item x="352"/>
        <item x="190"/>
        <item x="433"/>
        <item x="539"/>
        <item x="353"/>
        <item x="540"/>
        <item x="191"/>
        <item x="354"/>
        <item x="192"/>
        <item x="355"/>
        <item x="193"/>
        <item x="356"/>
        <item x="194"/>
        <item x="195"/>
        <item x="196"/>
        <item x="197"/>
        <item x="198"/>
        <item x="357"/>
        <item x="199"/>
        <item x="434"/>
        <item x="200"/>
        <item x="483"/>
        <item x="435"/>
        <item x="201"/>
        <item x="202"/>
        <item x="203"/>
        <item x="204"/>
        <item x="358"/>
        <item x="359"/>
        <item x="360"/>
        <item x="205"/>
        <item x="206"/>
        <item x="207"/>
        <item x="484"/>
        <item x="485"/>
        <item x="208"/>
        <item x="209"/>
        <item x="361"/>
        <item x="541"/>
        <item x="210"/>
        <item x="211"/>
        <item x="212"/>
        <item x="213"/>
        <item x="486"/>
        <item x="214"/>
        <item x="215"/>
        <item x="216"/>
        <item x="217"/>
        <item x="218"/>
        <item x="436"/>
        <item x="487"/>
        <item x="219"/>
        <item x="220"/>
        <item x="221"/>
        <item x="222"/>
        <item x="437"/>
        <item x="223"/>
        <item x="224"/>
        <item x="542"/>
        <item x="225"/>
        <item x="543"/>
        <item x="438"/>
        <item x="439"/>
        <item x="362"/>
        <item x="226"/>
        <item x="227"/>
        <item x="228"/>
        <item x="229"/>
        <item x="230"/>
        <item x="231"/>
        <item x="544"/>
        <item x="232"/>
        <item x="233"/>
        <item x="234"/>
        <item x="235"/>
        <item x="440"/>
        <item x="441"/>
        <item x="488"/>
        <item x="545"/>
        <item x="236"/>
        <item x="237"/>
        <item x="363"/>
        <item x="546"/>
        <item x="238"/>
        <item x="489"/>
        <item x="490"/>
        <item x="239"/>
        <item x="240"/>
        <item x="547"/>
        <item x="241"/>
        <item x="242"/>
        <item x="243"/>
        <item x="244"/>
        <item x="245"/>
        <item x="548"/>
        <item x="246"/>
        <item x="247"/>
        <item x="248"/>
        <item x="491"/>
        <item x="492"/>
        <item x="249"/>
        <item x="364"/>
        <item x="250"/>
        <item x="493"/>
        <item x="251"/>
        <item x="252"/>
        <item x="253"/>
        <item x="254"/>
        <item x="255"/>
        <item x="365"/>
        <item x="256"/>
        <item x="442"/>
        <item x="443"/>
        <item x="257"/>
        <item x="366"/>
        <item x="258"/>
        <item x="444"/>
        <item x="259"/>
        <item x="549"/>
        <item x="445"/>
        <item x="260"/>
        <item x="261"/>
        <item x="262"/>
        <item x="263"/>
        <item x="446"/>
        <item x="264"/>
        <item x="265"/>
        <item x="266"/>
        <item x="267"/>
        <item x="367"/>
        <item x="268"/>
        <item x="550"/>
        <item x="551"/>
        <item x="368"/>
        <item x="269"/>
        <item x="552"/>
        <item x="270"/>
        <item x="271"/>
        <item x="272"/>
        <item x="369"/>
        <item x="370"/>
        <item x="371"/>
        <item x="273"/>
        <item x="553"/>
        <item x="447"/>
        <item x="274"/>
        <item x="448"/>
        <item x="372"/>
        <item x="494"/>
        <item x="373"/>
        <item x="449"/>
        <item x="275"/>
        <item x="276"/>
        <item x="277"/>
        <item x="554"/>
        <item x="278"/>
        <item x="279"/>
        <item x="280"/>
        <item x="450"/>
        <item x="555"/>
        <item x="374"/>
        <item x="375"/>
        <item x="281"/>
        <item x="495"/>
        <item x="496"/>
        <item x="282"/>
        <item x="283"/>
        <item x="284"/>
        <item x="285"/>
        <item x="286"/>
        <item x="376"/>
        <item x="377"/>
        <item x="497"/>
        <item x="378"/>
        <item x="287"/>
        <item x="498"/>
        <item x="288"/>
        <item x="289"/>
        <item x="290"/>
        <item x="379"/>
        <item x="291"/>
        <item x="499"/>
        <item x="292"/>
        <item x="293"/>
        <item x="556"/>
        <item x="451"/>
        <item x="294"/>
        <item x="295"/>
        <item x="380"/>
        <item x="296"/>
        <item x="297"/>
        <item t="default"/>
      </items>
    </pivotField>
    <pivotField showAll="0"/>
    <pivotField showAll="0"/>
    <pivotField showAll="0"/>
    <pivotField axis="axisRow" showAll="0">
      <items count="16">
        <item sd="0" x="9"/>
        <item sd="0" x="6"/>
        <item sd="0" x="12"/>
        <item sd="0" x="10"/>
        <item sd="0" x="13"/>
        <item sd="0" x="4"/>
        <item sd="0" x="2"/>
        <item sd="0" x="1"/>
        <item sd="0" x="11"/>
        <item sd="0" x="5"/>
        <item sd="0" x="3"/>
        <item sd="0" x="7"/>
        <item sd="0" x="8"/>
        <item sd="0" x="0"/>
        <item sd="0" x="14"/>
        <item t="default"/>
      </items>
    </pivotField>
    <pivotField showAll="0"/>
    <pivotField showAll="0"/>
    <pivotField showAll="0"/>
    <pivotField showAll="0"/>
    <pivotField showAll="0"/>
    <pivotField dataField="1" showAll="0" sumSubtotal="1">
      <items count="21">
        <item x="0"/>
        <item x="1"/>
        <item x="2"/>
        <item x="5"/>
        <item x="8"/>
        <item x="4"/>
        <item x="7"/>
        <item x="9"/>
        <item x="12"/>
        <item x="10"/>
        <item x="3"/>
        <item x="14"/>
        <item x="6"/>
        <item x="15"/>
        <item x="16"/>
        <item x="18"/>
        <item x="19"/>
        <item x="11"/>
        <item x="17"/>
        <item x="13"/>
        <item t="sum"/>
      </items>
    </pivotField>
    <pivotField dataField="1" showAll="0"/>
    <pivotField showAll="0"/>
    <pivotField showAll="0"/>
    <pivotField showAll="0"/>
    <pivotField dataField="1" showAll="0"/>
    <pivotField dataField="1" showAll="0"/>
    <pivotField showAll="0"/>
    <pivotField showAll="0"/>
    <pivotField showAll="0"/>
  </pivotFields>
  <rowFields count="2">
    <field x="4"/>
    <field x="0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 of Goals" fld="10" baseField="0" baseItem="0"/>
    <dataField name="Sum of Assists" fld="11" baseField="0" baseItem="0"/>
    <dataField name="Sum of Yellow" fld="15" baseField="0" baseItem="0"/>
    <dataField name="Sum of Red" fld="1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1346"/>
  <sheetViews>
    <sheetView tabSelected="1" topLeftCell="N1" zoomScaleNormal="100" workbookViewId="0">
      <selection activeCell="W39" sqref="W39"/>
    </sheetView>
  </sheetViews>
  <sheetFormatPr defaultColWidth="11.5703125" defaultRowHeight="12.75" x14ac:dyDescent="0.2"/>
  <cols>
    <col min="1" max="1" width="23" customWidth="1"/>
    <col min="2" max="3" width="9" customWidth="1"/>
    <col min="4" max="4" width="7.140625" customWidth="1"/>
    <col min="5" max="5" width="14.7109375" customWidth="1"/>
    <col min="6" max="6" width="4.7109375" customWidth="1"/>
    <col min="7" max="7" width="5.42578125" customWidth="1"/>
    <col min="8" max="8" width="4.28515625" customWidth="1"/>
    <col min="9" max="9" width="6.42578125" customWidth="1"/>
    <col min="10" max="10" width="5.42578125" customWidth="1"/>
    <col min="11" max="11" width="6.28515625" customWidth="1"/>
    <col min="12" max="12" width="7.7109375" customWidth="1"/>
    <col min="13" max="13" width="6" customWidth="1"/>
    <col min="14" max="14" width="4" customWidth="1"/>
    <col min="15" max="15" width="5.85546875" customWidth="1"/>
    <col min="16" max="16" width="6.28515625" customWidth="1"/>
    <col min="17" max="17" width="4.7109375" customWidth="1"/>
    <col min="18" max="18" width="19.28515625" bestFit="1" customWidth="1"/>
    <col min="19" max="19" width="9.85546875" customWidth="1"/>
    <col min="20" max="20" width="22.42578125" customWidth="1"/>
    <col min="21" max="21" width="25.28515625" bestFit="1" customWidth="1"/>
    <col min="23" max="23" width="18.28515625" bestFit="1" customWidth="1"/>
    <col min="24" max="24" width="13.28515625" bestFit="1" customWidth="1"/>
    <col min="25" max="25" width="14" bestFit="1" customWidth="1"/>
    <col min="26" max="26" width="14.28515625" bestFit="1" customWidth="1"/>
    <col min="27" max="27" width="11.5703125" bestFit="1" customWidth="1"/>
    <col min="28" max="33" width="2" bestFit="1" customWidth="1"/>
    <col min="34" max="43" width="3" bestFit="1" customWidth="1"/>
    <col min="44" max="44" width="11.7109375" bestFit="1" customWidth="1"/>
  </cols>
  <sheetData>
    <row r="1" spans="1:44" x14ac:dyDescent="0.2">
      <c r="A1" t="s">
        <v>0</v>
      </c>
      <c r="B1" t="s">
        <v>1</v>
      </c>
      <c r="C1" t="s">
        <v>684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605</v>
      </c>
      <c r="S1" t="s">
        <v>16</v>
      </c>
      <c r="T1" t="s">
        <v>17</v>
      </c>
      <c r="AR1" t="s">
        <v>17</v>
      </c>
    </row>
    <row r="2" spans="1:44" x14ac:dyDescent="0.2">
      <c r="A2" t="s">
        <v>293</v>
      </c>
      <c r="B2" t="s">
        <v>606</v>
      </c>
      <c r="C2" t="s">
        <v>607</v>
      </c>
      <c r="D2" t="s">
        <v>34</v>
      </c>
      <c r="E2" t="s">
        <v>24</v>
      </c>
      <c r="F2">
        <v>27</v>
      </c>
      <c r="G2">
        <v>1995</v>
      </c>
      <c r="H2">
        <v>11</v>
      </c>
      <c r="I2">
        <v>9</v>
      </c>
      <c r="J2">
        <v>797</v>
      </c>
      <c r="K2">
        <v>0</v>
      </c>
      <c r="L2">
        <v>0</v>
      </c>
      <c r="M2">
        <v>0</v>
      </c>
      <c r="N2">
        <v>0</v>
      </c>
      <c r="O2">
        <v>0</v>
      </c>
      <c r="P2">
        <v>4</v>
      </c>
      <c r="Q2">
        <v>0</v>
      </c>
      <c r="R2">
        <f>K2/J2/90</f>
        <v>0</v>
      </c>
      <c r="S2" t="s">
        <v>21</v>
      </c>
      <c r="T2">
        <v>21</v>
      </c>
      <c r="U2" t="str">
        <f>CONCATENATE(A2, ":", L2)</f>
        <v>Abbey-Leigh Stringer:0</v>
      </c>
      <c r="V2">
        <f>COUNTIF(J2:J307, "&lt;500")</f>
        <v>115</v>
      </c>
      <c r="AR2">
        <v>21</v>
      </c>
    </row>
    <row r="3" spans="1:44" x14ac:dyDescent="0.2">
      <c r="A3" t="s">
        <v>215</v>
      </c>
      <c r="B3" t="s">
        <v>606</v>
      </c>
      <c r="C3" t="s">
        <v>607</v>
      </c>
      <c r="D3" t="s">
        <v>94</v>
      </c>
      <c r="E3" t="s">
        <v>46</v>
      </c>
      <c r="F3">
        <v>29</v>
      </c>
      <c r="G3">
        <v>1993</v>
      </c>
      <c r="H3">
        <v>2</v>
      </c>
      <c r="I3">
        <v>2</v>
      </c>
      <c r="J3">
        <v>151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f t="shared" ref="R3:R66" si="0">K3/J3/90</f>
        <v>0</v>
      </c>
      <c r="S3" t="s">
        <v>21</v>
      </c>
      <c r="T3">
        <v>16</v>
      </c>
      <c r="U3" t="str">
        <f t="shared" ref="U3:U66" si="1">CONCATENATE(A3, ":", L3)</f>
        <v>Abbie McManus:0</v>
      </c>
      <c r="AR3">
        <v>16</v>
      </c>
    </row>
    <row r="4" spans="1:44" x14ac:dyDescent="0.2">
      <c r="A4" t="s">
        <v>91</v>
      </c>
      <c r="D4" t="s">
        <v>26</v>
      </c>
      <c r="E4" t="s">
        <v>55</v>
      </c>
      <c r="H4">
        <v>1</v>
      </c>
      <c r="I4">
        <v>0</v>
      </c>
      <c r="J4">
        <v>6</v>
      </c>
      <c r="K4">
        <v>0</v>
      </c>
      <c r="L4">
        <v>0</v>
      </c>
      <c r="M4">
        <v>0</v>
      </c>
      <c r="N4">
        <v>0</v>
      </c>
      <c r="O4">
        <v>0</v>
      </c>
      <c r="P4">
        <v>1</v>
      </c>
      <c r="Q4">
        <v>0</v>
      </c>
      <c r="R4">
        <f t="shared" si="0"/>
        <v>0</v>
      </c>
      <c r="S4" t="s">
        <v>21</v>
      </c>
      <c r="T4">
        <v>30</v>
      </c>
      <c r="U4" t="str">
        <f t="shared" si="1"/>
        <v>Abby Clarke:0</v>
      </c>
      <c r="AR4">
        <v>30</v>
      </c>
    </row>
    <row r="5" spans="1:44" x14ac:dyDescent="0.2">
      <c r="A5" t="s">
        <v>196</v>
      </c>
      <c r="B5" t="s">
        <v>608</v>
      </c>
      <c r="C5" t="s">
        <v>609</v>
      </c>
      <c r="D5" t="s">
        <v>42</v>
      </c>
      <c r="E5" t="s">
        <v>52</v>
      </c>
      <c r="F5">
        <v>29</v>
      </c>
      <c r="G5">
        <v>1992</v>
      </c>
      <c r="H5">
        <v>5</v>
      </c>
      <c r="I5">
        <v>0</v>
      </c>
      <c r="J5">
        <v>81</v>
      </c>
      <c r="K5">
        <v>1</v>
      </c>
      <c r="L5">
        <v>0</v>
      </c>
      <c r="M5">
        <v>1</v>
      </c>
      <c r="N5">
        <v>0</v>
      </c>
      <c r="O5">
        <v>0</v>
      </c>
      <c r="P5">
        <v>0</v>
      </c>
      <c r="Q5">
        <v>0</v>
      </c>
      <c r="R5">
        <f t="shared" si="0"/>
        <v>1.371742112482853E-4</v>
      </c>
      <c r="S5" t="s">
        <v>21</v>
      </c>
      <c r="T5">
        <v>56</v>
      </c>
      <c r="U5" t="str">
        <f t="shared" si="1"/>
        <v>Adriana Leon:0</v>
      </c>
      <c r="AR5">
        <v>56</v>
      </c>
    </row>
    <row r="6" spans="1:44" x14ac:dyDescent="0.2">
      <c r="A6" t="s">
        <v>54</v>
      </c>
      <c r="B6" t="s">
        <v>606</v>
      </c>
      <c r="C6" t="s">
        <v>607</v>
      </c>
      <c r="D6" t="s">
        <v>26</v>
      </c>
      <c r="E6" t="s">
        <v>55</v>
      </c>
      <c r="F6">
        <v>19</v>
      </c>
      <c r="G6">
        <v>2003</v>
      </c>
      <c r="H6">
        <v>16</v>
      </c>
      <c r="I6">
        <v>7</v>
      </c>
      <c r="J6">
        <v>761</v>
      </c>
      <c r="K6">
        <v>2</v>
      </c>
      <c r="L6">
        <v>0</v>
      </c>
      <c r="M6">
        <v>2</v>
      </c>
      <c r="N6">
        <v>0</v>
      </c>
      <c r="O6">
        <v>0</v>
      </c>
      <c r="P6">
        <v>3</v>
      </c>
      <c r="Q6">
        <v>1</v>
      </c>
      <c r="R6">
        <f t="shared" si="0"/>
        <v>2.9201343261790042E-5</v>
      </c>
      <c r="S6" t="s">
        <v>21</v>
      </c>
      <c r="T6">
        <v>30</v>
      </c>
      <c r="U6" t="str">
        <f t="shared" si="1"/>
        <v>Agnes Beever-Jones:0</v>
      </c>
      <c r="AR6">
        <v>30</v>
      </c>
    </row>
    <row r="7" spans="1:44" x14ac:dyDescent="0.2">
      <c r="A7" t="s">
        <v>325</v>
      </c>
      <c r="B7" t="s">
        <v>606</v>
      </c>
      <c r="C7" t="s">
        <v>607</v>
      </c>
      <c r="D7" t="s">
        <v>23</v>
      </c>
      <c r="E7" t="s">
        <v>46</v>
      </c>
      <c r="F7">
        <v>30</v>
      </c>
      <c r="G7">
        <v>1991</v>
      </c>
      <c r="H7">
        <v>22</v>
      </c>
      <c r="I7">
        <v>22</v>
      </c>
      <c r="J7">
        <v>1927</v>
      </c>
      <c r="K7">
        <v>1</v>
      </c>
      <c r="L7">
        <v>1</v>
      </c>
      <c r="M7">
        <v>1</v>
      </c>
      <c r="N7">
        <v>0</v>
      </c>
      <c r="O7">
        <v>0</v>
      </c>
      <c r="P7">
        <v>1</v>
      </c>
      <c r="Q7">
        <v>0</v>
      </c>
      <c r="R7">
        <f t="shared" si="0"/>
        <v>5.7660151069595798E-6</v>
      </c>
      <c r="S7" t="s">
        <v>21</v>
      </c>
      <c r="T7">
        <v>16</v>
      </c>
      <c r="U7" t="str">
        <f t="shared" si="1"/>
        <v>Aileen Whelan:1</v>
      </c>
      <c r="AR7">
        <v>30</v>
      </c>
    </row>
    <row r="8" spans="1:44" x14ac:dyDescent="0.2">
      <c r="A8" t="s">
        <v>92</v>
      </c>
      <c r="B8" t="s">
        <v>606</v>
      </c>
      <c r="C8" t="s">
        <v>607</v>
      </c>
      <c r="D8" t="s">
        <v>34</v>
      </c>
      <c r="E8" t="s">
        <v>20</v>
      </c>
      <c r="H8">
        <v>1</v>
      </c>
      <c r="I8">
        <v>0</v>
      </c>
      <c r="J8">
        <v>10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f t="shared" si="0"/>
        <v>0</v>
      </c>
      <c r="S8" t="s">
        <v>21</v>
      </c>
      <c r="T8">
        <v>58</v>
      </c>
      <c r="U8" t="str">
        <f t="shared" si="1"/>
        <v>Aimee Claypole:0</v>
      </c>
      <c r="AR8">
        <v>16</v>
      </c>
    </row>
    <row r="9" spans="1:44" x14ac:dyDescent="0.2">
      <c r="A9" t="s">
        <v>306</v>
      </c>
      <c r="B9" t="s">
        <v>610</v>
      </c>
      <c r="C9" t="s">
        <v>611</v>
      </c>
      <c r="D9" t="s">
        <v>50</v>
      </c>
      <c r="E9" t="s">
        <v>52</v>
      </c>
      <c r="F9">
        <v>27</v>
      </c>
      <c r="G9">
        <v>1995</v>
      </c>
      <c r="H9">
        <v>1</v>
      </c>
      <c r="I9">
        <v>0</v>
      </c>
      <c r="J9">
        <v>5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f t="shared" si="0"/>
        <v>0</v>
      </c>
      <c r="S9" t="s">
        <v>21</v>
      </c>
      <c r="T9">
        <v>56</v>
      </c>
      <c r="U9" t="str">
        <f t="shared" si="1"/>
        <v>Aïssatou Tounkara:0</v>
      </c>
      <c r="AR9">
        <v>58</v>
      </c>
    </row>
    <row r="10" spans="1:44" x14ac:dyDescent="0.2">
      <c r="A10" t="s">
        <v>178</v>
      </c>
      <c r="B10" t="s">
        <v>612</v>
      </c>
      <c r="C10" t="s">
        <v>613</v>
      </c>
      <c r="D10" t="s">
        <v>50</v>
      </c>
      <c r="E10" t="s">
        <v>32</v>
      </c>
      <c r="F10">
        <v>27</v>
      </c>
      <c r="G10">
        <v>1995</v>
      </c>
      <c r="H10">
        <v>2</v>
      </c>
      <c r="I10">
        <v>2</v>
      </c>
      <c r="J10">
        <v>180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f t="shared" si="0"/>
        <v>0</v>
      </c>
      <c r="S10" t="s">
        <v>21</v>
      </c>
      <c r="T10">
        <v>47</v>
      </c>
      <c r="U10" t="str">
        <f t="shared" si="1"/>
        <v>Alanna Kennedy:0</v>
      </c>
      <c r="AR10">
        <v>56</v>
      </c>
    </row>
    <row r="11" spans="1:44" x14ac:dyDescent="0.2">
      <c r="A11" t="s">
        <v>267</v>
      </c>
      <c r="B11" t="s">
        <v>606</v>
      </c>
      <c r="C11" t="s">
        <v>607</v>
      </c>
      <c r="D11" t="s">
        <v>26</v>
      </c>
      <c r="E11" t="s">
        <v>52</v>
      </c>
      <c r="F11">
        <v>23</v>
      </c>
      <c r="G11">
        <v>1999</v>
      </c>
      <c r="H11">
        <v>20</v>
      </c>
      <c r="I11">
        <v>19</v>
      </c>
      <c r="J11">
        <v>1548</v>
      </c>
      <c r="K11">
        <v>10</v>
      </c>
      <c r="L11">
        <v>1</v>
      </c>
      <c r="M11">
        <v>10</v>
      </c>
      <c r="N11">
        <v>0</v>
      </c>
      <c r="O11">
        <v>0</v>
      </c>
      <c r="P11">
        <v>1</v>
      </c>
      <c r="Q11">
        <v>0</v>
      </c>
      <c r="R11">
        <f t="shared" si="0"/>
        <v>7.1777203560149288E-5</v>
      </c>
      <c r="S11" t="s">
        <v>21</v>
      </c>
      <c r="T11">
        <v>56</v>
      </c>
      <c r="U11" t="str">
        <f t="shared" si="1"/>
        <v>Alessia Russo:1</v>
      </c>
      <c r="AR11">
        <v>47</v>
      </c>
    </row>
    <row r="12" spans="1:44" x14ac:dyDescent="0.2">
      <c r="A12" t="s">
        <v>143</v>
      </c>
      <c r="B12" t="s">
        <v>606</v>
      </c>
      <c r="C12" t="s">
        <v>607</v>
      </c>
      <c r="D12" t="s">
        <v>50</v>
      </c>
      <c r="E12" t="s">
        <v>32</v>
      </c>
      <c r="F12">
        <v>28</v>
      </c>
      <c r="G12">
        <v>1993</v>
      </c>
      <c r="H12">
        <v>21</v>
      </c>
      <c r="I12">
        <v>20</v>
      </c>
      <c r="J12">
        <v>1792</v>
      </c>
      <c r="K12">
        <v>0</v>
      </c>
      <c r="L12">
        <v>3</v>
      </c>
      <c r="M12">
        <v>0</v>
      </c>
      <c r="N12">
        <v>0</v>
      </c>
      <c r="O12">
        <v>1</v>
      </c>
      <c r="P12">
        <v>3</v>
      </c>
      <c r="Q12">
        <v>0</v>
      </c>
      <c r="R12">
        <f t="shared" si="0"/>
        <v>0</v>
      </c>
      <c r="S12" t="s">
        <v>21</v>
      </c>
      <c r="T12">
        <v>47</v>
      </c>
      <c r="U12" t="str">
        <f t="shared" si="1"/>
        <v>Alex Greenwood:3</v>
      </c>
      <c r="AR12">
        <v>56</v>
      </c>
    </row>
    <row r="13" spans="1:44" x14ac:dyDescent="0.2">
      <c r="A13" t="s">
        <v>176</v>
      </c>
      <c r="D13" t="s">
        <v>26</v>
      </c>
      <c r="E13" t="s">
        <v>37</v>
      </c>
      <c r="H13">
        <v>1</v>
      </c>
      <c r="I13">
        <v>0</v>
      </c>
      <c r="J13">
        <v>1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f t="shared" si="0"/>
        <v>0</v>
      </c>
      <c r="S13" t="s">
        <v>21</v>
      </c>
      <c r="T13">
        <v>37</v>
      </c>
      <c r="U13" t="str">
        <f t="shared" si="1"/>
        <v>Alice Keitley:0</v>
      </c>
      <c r="AR13">
        <v>47</v>
      </c>
    </row>
    <row r="14" spans="1:44" x14ac:dyDescent="0.2">
      <c r="A14" t="s">
        <v>194</v>
      </c>
      <c r="B14" t="s">
        <v>614</v>
      </c>
      <c r="C14" t="s">
        <v>615</v>
      </c>
      <c r="D14" t="s">
        <v>26</v>
      </c>
      <c r="E14" t="s">
        <v>37</v>
      </c>
      <c r="F14">
        <v>23</v>
      </c>
      <c r="G14">
        <v>1999</v>
      </c>
      <c r="H14">
        <v>22</v>
      </c>
      <c r="I14">
        <v>18</v>
      </c>
      <c r="J14">
        <v>1526</v>
      </c>
      <c r="K14">
        <v>5</v>
      </c>
      <c r="L14">
        <v>2</v>
      </c>
      <c r="M14">
        <v>5</v>
      </c>
      <c r="N14">
        <v>0</v>
      </c>
      <c r="O14">
        <v>1</v>
      </c>
      <c r="P14">
        <v>2</v>
      </c>
      <c r="Q14">
        <v>0</v>
      </c>
      <c r="R14">
        <f t="shared" si="0"/>
        <v>3.6405999708752E-5</v>
      </c>
      <c r="S14" t="s">
        <v>21</v>
      </c>
      <c r="T14">
        <v>37</v>
      </c>
      <c r="U14" t="str">
        <f t="shared" si="1"/>
        <v>Alisha Lehmann:2</v>
      </c>
      <c r="AR14">
        <v>37</v>
      </c>
    </row>
    <row r="15" spans="1:44" x14ac:dyDescent="0.2">
      <c r="A15" t="s">
        <v>18</v>
      </c>
      <c r="B15" t="s">
        <v>616</v>
      </c>
      <c r="C15" t="s">
        <v>617</v>
      </c>
      <c r="D15" t="s">
        <v>19</v>
      </c>
      <c r="E15" t="s">
        <v>20</v>
      </c>
      <c r="F15">
        <v>21</v>
      </c>
      <c r="G15">
        <v>2001</v>
      </c>
      <c r="H15">
        <v>6</v>
      </c>
      <c r="I15">
        <v>0</v>
      </c>
      <c r="J15">
        <v>121</v>
      </c>
      <c r="K15">
        <v>0</v>
      </c>
      <c r="L15">
        <v>1</v>
      </c>
      <c r="M15">
        <v>0</v>
      </c>
      <c r="N15">
        <v>0</v>
      </c>
      <c r="O15">
        <v>0</v>
      </c>
      <c r="P15">
        <v>0</v>
      </c>
      <c r="Q15">
        <v>0</v>
      </c>
      <c r="R15">
        <f t="shared" si="0"/>
        <v>0</v>
      </c>
      <c r="S15" t="s">
        <v>21</v>
      </c>
      <c r="T15">
        <v>58</v>
      </c>
      <c r="U15" t="str">
        <f t="shared" si="1"/>
        <v>Alsu Abdullina:1</v>
      </c>
      <c r="AR15">
        <v>37</v>
      </c>
    </row>
    <row r="16" spans="1:44" x14ac:dyDescent="0.2">
      <c r="A16" t="s">
        <v>110</v>
      </c>
      <c r="B16" t="s">
        <v>618</v>
      </c>
      <c r="C16" t="s">
        <v>619</v>
      </c>
      <c r="D16" t="s">
        <v>94</v>
      </c>
      <c r="E16" t="s">
        <v>35</v>
      </c>
      <c r="F16">
        <v>26</v>
      </c>
      <c r="G16">
        <v>1995</v>
      </c>
      <c r="H16">
        <v>22</v>
      </c>
      <c r="I16">
        <v>22</v>
      </c>
      <c r="J16">
        <v>1980</v>
      </c>
      <c r="K16">
        <v>1</v>
      </c>
      <c r="L16">
        <v>1</v>
      </c>
      <c r="M16">
        <v>1</v>
      </c>
      <c r="N16">
        <v>0</v>
      </c>
      <c r="O16">
        <v>0</v>
      </c>
      <c r="P16">
        <v>2</v>
      </c>
      <c r="Q16">
        <v>0</v>
      </c>
      <c r="R16">
        <f t="shared" si="0"/>
        <v>5.6116722783389449E-6</v>
      </c>
      <c r="S16" t="s">
        <v>21</v>
      </c>
      <c r="T16">
        <v>11</v>
      </c>
      <c r="U16" t="str">
        <f t="shared" si="1"/>
        <v>Amalie Eikeland:1</v>
      </c>
      <c r="AR16">
        <v>58</v>
      </c>
    </row>
    <row r="17" spans="1:44" x14ac:dyDescent="0.2">
      <c r="A17" t="s">
        <v>301</v>
      </c>
      <c r="B17" t="s">
        <v>620</v>
      </c>
      <c r="C17" t="s">
        <v>621</v>
      </c>
      <c r="D17" t="s">
        <v>42</v>
      </c>
      <c r="E17" t="s">
        <v>24</v>
      </c>
      <c r="F17">
        <v>27</v>
      </c>
      <c r="G17">
        <v>1995</v>
      </c>
      <c r="H17">
        <v>10</v>
      </c>
      <c r="I17">
        <v>6</v>
      </c>
      <c r="J17">
        <v>493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f t="shared" si="0"/>
        <v>0</v>
      </c>
      <c r="S17" t="s">
        <v>21</v>
      </c>
      <c r="T17">
        <v>21</v>
      </c>
      <c r="U17" t="str">
        <f t="shared" si="1"/>
        <v>Amalie Thestrup:0</v>
      </c>
      <c r="AR17">
        <v>11</v>
      </c>
    </row>
    <row r="18" spans="1:44" x14ac:dyDescent="0.2">
      <c r="A18" t="s">
        <v>311</v>
      </c>
      <c r="B18" t="s">
        <v>622</v>
      </c>
      <c r="C18" t="s">
        <v>623</v>
      </c>
      <c r="D18" t="s">
        <v>50</v>
      </c>
      <c r="E18" t="s">
        <v>24</v>
      </c>
      <c r="F18">
        <v>22</v>
      </c>
      <c r="G18">
        <v>2000</v>
      </c>
      <c r="H18">
        <v>4</v>
      </c>
      <c r="I18">
        <v>3</v>
      </c>
      <c r="J18">
        <v>225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f t="shared" si="0"/>
        <v>0</v>
      </c>
      <c r="S18" t="s">
        <v>21</v>
      </c>
      <c r="T18">
        <v>21</v>
      </c>
      <c r="U18" t="str">
        <f t="shared" si="1"/>
        <v>Amber Tysiak:0</v>
      </c>
      <c r="AR18">
        <v>21</v>
      </c>
    </row>
    <row r="19" spans="1:44" x14ac:dyDescent="0.2">
      <c r="A19" t="s">
        <v>308</v>
      </c>
      <c r="B19" t="s">
        <v>606</v>
      </c>
      <c r="C19" t="s">
        <v>607</v>
      </c>
      <c r="D19" t="s">
        <v>50</v>
      </c>
      <c r="E19" t="s">
        <v>30</v>
      </c>
      <c r="F19">
        <v>31</v>
      </c>
      <c r="G19">
        <v>1991</v>
      </c>
      <c r="H19">
        <v>22</v>
      </c>
      <c r="I19">
        <v>22</v>
      </c>
      <c r="J19">
        <v>1851</v>
      </c>
      <c r="K19">
        <v>0</v>
      </c>
      <c r="L19">
        <v>0</v>
      </c>
      <c r="M19">
        <v>0</v>
      </c>
      <c r="N19">
        <v>0</v>
      </c>
      <c r="O19">
        <v>0</v>
      </c>
      <c r="P19">
        <v>4</v>
      </c>
      <c r="Q19">
        <v>0</v>
      </c>
      <c r="R19">
        <f t="shared" si="0"/>
        <v>0</v>
      </c>
      <c r="S19" t="s">
        <v>21</v>
      </c>
      <c r="T19">
        <v>18</v>
      </c>
      <c r="U19" t="str">
        <f t="shared" si="1"/>
        <v>Amy Turner:0</v>
      </c>
      <c r="AR19">
        <v>21</v>
      </c>
    </row>
    <row r="20" spans="1:44" x14ac:dyDescent="0.2">
      <c r="A20" t="s">
        <v>169</v>
      </c>
      <c r="B20" t="s">
        <v>624</v>
      </c>
      <c r="C20" t="s">
        <v>625</v>
      </c>
      <c r="D20" t="s">
        <v>34</v>
      </c>
      <c r="E20" t="s">
        <v>30</v>
      </c>
      <c r="F20">
        <v>28</v>
      </c>
      <c r="G20">
        <v>1994</v>
      </c>
      <c r="H20">
        <v>22</v>
      </c>
      <c r="I20">
        <v>17</v>
      </c>
      <c r="J20">
        <v>1555</v>
      </c>
      <c r="K20">
        <v>0</v>
      </c>
      <c r="L20">
        <v>2</v>
      </c>
      <c r="M20">
        <v>0</v>
      </c>
      <c r="N20">
        <v>0</v>
      </c>
      <c r="O20">
        <v>0</v>
      </c>
      <c r="P20">
        <v>1</v>
      </c>
      <c r="Q20">
        <v>0</v>
      </c>
      <c r="R20">
        <f t="shared" si="0"/>
        <v>0</v>
      </c>
      <c r="S20" t="s">
        <v>21</v>
      </c>
      <c r="T20">
        <v>18</v>
      </c>
      <c r="U20" t="str">
        <f t="shared" si="1"/>
        <v>Angharad James:2</v>
      </c>
      <c r="AR20">
        <v>18</v>
      </c>
    </row>
    <row r="21" spans="1:44" x14ac:dyDescent="0.2">
      <c r="A21" t="s">
        <v>232</v>
      </c>
      <c r="B21" t="s">
        <v>626</v>
      </c>
      <c r="C21" t="s">
        <v>627</v>
      </c>
      <c r="D21" t="s">
        <v>50</v>
      </c>
      <c r="E21" t="s">
        <v>20</v>
      </c>
      <c r="F21">
        <v>23</v>
      </c>
      <c r="G21">
        <v>1999</v>
      </c>
      <c r="H21">
        <v>3</v>
      </c>
      <c r="I21">
        <v>1</v>
      </c>
      <c r="J21">
        <v>120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f t="shared" si="0"/>
        <v>0</v>
      </c>
      <c r="S21" t="s">
        <v>21</v>
      </c>
      <c r="T21">
        <v>58</v>
      </c>
      <c r="U21" t="str">
        <f t="shared" si="1"/>
        <v>Aniek Nouwen:0</v>
      </c>
      <c r="AR21">
        <v>18</v>
      </c>
    </row>
    <row r="22" spans="1:44" x14ac:dyDescent="0.2">
      <c r="A22" t="s">
        <v>193</v>
      </c>
      <c r="B22" t="s">
        <v>628</v>
      </c>
      <c r="C22" t="s">
        <v>629</v>
      </c>
      <c r="D22" t="s">
        <v>40</v>
      </c>
      <c r="E22" t="s">
        <v>37</v>
      </c>
      <c r="F22">
        <v>21</v>
      </c>
      <c r="G22">
        <v>2001</v>
      </c>
      <c r="H22">
        <v>7</v>
      </c>
      <c r="I22">
        <v>7</v>
      </c>
      <c r="J22">
        <v>630</v>
      </c>
      <c r="K22">
        <v>0</v>
      </c>
      <c r="L22">
        <v>0</v>
      </c>
      <c r="M22">
        <v>0</v>
      </c>
      <c r="N22">
        <v>0</v>
      </c>
      <c r="O22">
        <v>0</v>
      </c>
      <c r="P22">
        <v>1</v>
      </c>
      <c r="Q22">
        <v>0</v>
      </c>
      <c r="R22">
        <f t="shared" si="0"/>
        <v>0</v>
      </c>
      <c r="S22" t="s">
        <v>21</v>
      </c>
      <c r="T22">
        <v>37</v>
      </c>
      <c r="U22" t="str">
        <f t="shared" si="1"/>
        <v>Anna Leat:0</v>
      </c>
      <c r="AR22">
        <v>58</v>
      </c>
    </row>
    <row r="23" spans="1:44" x14ac:dyDescent="0.2">
      <c r="A23" t="s">
        <v>239</v>
      </c>
      <c r="B23" t="s">
        <v>606</v>
      </c>
      <c r="C23" t="s">
        <v>607</v>
      </c>
      <c r="D23" t="s">
        <v>50</v>
      </c>
      <c r="E23" t="s">
        <v>37</v>
      </c>
      <c r="F23">
        <v>23</v>
      </c>
      <c r="G23">
        <v>1999</v>
      </c>
      <c r="H23">
        <v>19</v>
      </c>
      <c r="I23">
        <v>18</v>
      </c>
      <c r="J23">
        <v>1578</v>
      </c>
      <c r="K23">
        <v>0</v>
      </c>
      <c r="L23">
        <v>1</v>
      </c>
      <c r="M23">
        <v>0</v>
      </c>
      <c r="N23">
        <v>0</v>
      </c>
      <c r="O23">
        <v>0</v>
      </c>
      <c r="P23">
        <v>1</v>
      </c>
      <c r="Q23">
        <v>0</v>
      </c>
      <c r="R23">
        <f t="shared" si="0"/>
        <v>0</v>
      </c>
      <c r="S23" t="s">
        <v>21</v>
      </c>
      <c r="T23">
        <v>37</v>
      </c>
      <c r="U23" t="str">
        <f t="shared" si="1"/>
        <v>Anna Patten:1</v>
      </c>
      <c r="AR23">
        <v>37</v>
      </c>
    </row>
    <row r="24" spans="1:44" x14ac:dyDescent="0.2">
      <c r="A24" t="s">
        <v>57</v>
      </c>
      <c r="B24" t="s">
        <v>630</v>
      </c>
      <c r="C24" t="s">
        <v>631</v>
      </c>
      <c r="D24" t="s">
        <v>40</v>
      </c>
      <c r="E24" t="s">
        <v>20</v>
      </c>
      <c r="F24">
        <v>31</v>
      </c>
      <c r="G24">
        <v>1990</v>
      </c>
      <c r="H24">
        <v>15</v>
      </c>
      <c r="I24">
        <v>15</v>
      </c>
      <c r="J24">
        <v>1350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f t="shared" si="0"/>
        <v>0</v>
      </c>
      <c r="S24" t="s">
        <v>21</v>
      </c>
      <c r="T24">
        <v>58</v>
      </c>
      <c r="U24" t="str">
        <f t="shared" si="1"/>
        <v>Ann-Katrin Berger:0</v>
      </c>
      <c r="AR24">
        <v>37</v>
      </c>
    </row>
    <row r="25" spans="1:44" x14ac:dyDescent="0.2">
      <c r="A25" t="s">
        <v>106</v>
      </c>
      <c r="B25" t="s">
        <v>606</v>
      </c>
      <c r="C25" t="s">
        <v>607</v>
      </c>
      <c r="D25" t="s">
        <v>19</v>
      </c>
      <c r="E25" t="s">
        <v>24</v>
      </c>
      <c r="F25">
        <v>19</v>
      </c>
      <c r="G25">
        <v>2003</v>
      </c>
      <c r="H25">
        <v>5</v>
      </c>
      <c r="I25">
        <v>3</v>
      </c>
      <c r="J25">
        <v>245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f t="shared" si="0"/>
        <v>0</v>
      </c>
      <c r="S25" t="s">
        <v>21</v>
      </c>
      <c r="T25">
        <v>21</v>
      </c>
      <c r="U25" t="str">
        <f t="shared" si="1"/>
        <v>Anouk Denton:0</v>
      </c>
      <c r="AR25">
        <v>58</v>
      </c>
    </row>
    <row r="26" spans="1:44" x14ac:dyDescent="0.2">
      <c r="A26" t="s">
        <v>208</v>
      </c>
      <c r="B26" t="s">
        <v>632</v>
      </c>
      <c r="C26" t="s">
        <v>633</v>
      </c>
      <c r="D26" t="s">
        <v>50</v>
      </c>
      <c r="E26" t="s">
        <v>52</v>
      </c>
      <c r="F26">
        <v>26</v>
      </c>
      <c r="G26">
        <v>1995</v>
      </c>
      <c r="H26">
        <v>5</v>
      </c>
      <c r="I26">
        <v>2</v>
      </c>
      <c r="J26">
        <v>212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f t="shared" si="0"/>
        <v>0</v>
      </c>
      <c r="S26" t="s">
        <v>21</v>
      </c>
      <c r="T26">
        <v>56</v>
      </c>
      <c r="U26" t="str">
        <f t="shared" si="1"/>
        <v>Aoife Mannion:0</v>
      </c>
      <c r="AR26">
        <v>58</v>
      </c>
    </row>
    <row r="27" spans="1:44" x14ac:dyDescent="0.2">
      <c r="A27" t="s">
        <v>228</v>
      </c>
      <c r="B27" t="s">
        <v>606</v>
      </c>
      <c r="C27" t="s">
        <v>607</v>
      </c>
      <c r="D27" t="s">
        <v>29</v>
      </c>
      <c r="E27" t="s">
        <v>30</v>
      </c>
      <c r="F27">
        <v>29</v>
      </c>
      <c r="G27">
        <v>1993</v>
      </c>
      <c r="H27">
        <v>21</v>
      </c>
      <c r="I27">
        <v>19</v>
      </c>
      <c r="J27">
        <v>1738</v>
      </c>
      <c r="K27">
        <v>3</v>
      </c>
      <c r="L27">
        <v>3</v>
      </c>
      <c r="M27">
        <v>3</v>
      </c>
      <c r="N27">
        <v>0</v>
      </c>
      <c r="O27">
        <v>0</v>
      </c>
      <c r="P27">
        <v>4</v>
      </c>
      <c r="Q27">
        <v>1</v>
      </c>
      <c r="R27">
        <f t="shared" si="0"/>
        <v>1.9179133103183735E-5</v>
      </c>
      <c r="S27" t="s">
        <v>21</v>
      </c>
      <c r="T27">
        <v>18</v>
      </c>
      <c r="U27" t="str">
        <f t="shared" si="1"/>
        <v>Ashleigh Neville:3</v>
      </c>
      <c r="AR27">
        <v>21</v>
      </c>
    </row>
    <row r="28" spans="1:44" x14ac:dyDescent="0.2">
      <c r="A28" t="s">
        <v>250</v>
      </c>
      <c r="B28" t="s">
        <v>634</v>
      </c>
      <c r="C28" t="s">
        <v>635</v>
      </c>
      <c r="D28" t="s">
        <v>50</v>
      </c>
      <c r="E28" t="s">
        <v>46</v>
      </c>
      <c r="F28">
        <v>24</v>
      </c>
      <c r="G28">
        <v>1998</v>
      </c>
      <c r="H28">
        <v>20</v>
      </c>
      <c r="I28">
        <v>20</v>
      </c>
      <c r="J28">
        <v>1739</v>
      </c>
      <c r="K28">
        <v>1</v>
      </c>
      <c r="L28">
        <v>0</v>
      </c>
      <c r="M28">
        <v>1</v>
      </c>
      <c r="N28">
        <v>0</v>
      </c>
      <c r="O28">
        <v>0</v>
      </c>
      <c r="P28">
        <v>4</v>
      </c>
      <c r="Q28">
        <v>0</v>
      </c>
      <c r="R28">
        <f t="shared" si="0"/>
        <v>6.3893680914957512E-6</v>
      </c>
      <c r="S28" t="s">
        <v>21</v>
      </c>
      <c r="T28">
        <v>16</v>
      </c>
      <c r="U28" t="str">
        <f t="shared" si="1"/>
        <v>Ashleigh Plumptre:0</v>
      </c>
      <c r="AR28">
        <v>56</v>
      </c>
    </row>
    <row r="29" spans="1:44" x14ac:dyDescent="0.2">
      <c r="A29" t="s">
        <v>28</v>
      </c>
      <c r="B29" t="s">
        <v>606</v>
      </c>
      <c r="C29" t="s">
        <v>607</v>
      </c>
      <c r="D29" t="s">
        <v>29</v>
      </c>
      <c r="E29" t="s">
        <v>30</v>
      </c>
      <c r="F29">
        <v>20</v>
      </c>
      <c r="G29">
        <v>2001</v>
      </c>
      <c r="H29">
        <v>13</v>
      </c>
      <c r="I29">
        <v>10</v>
      </c>
      <c r="J29">
        <v>815</v>
      </c>
      <c r="K29">
        <v>0</v>
      </c>
      <c r="L29">
        <v>1</v>
      </c>
      <c r="M29">
        <v>0</v>
      </c>
      <c r="N29">
        <v>0</v>
      </c>
      <c r="O29">
        <v>0</v>
      </c>
      <c r="P29">
        <v>0</v>
      </c>
      <c r="Q29">
        <v>0</v>
      </c>
      <c r="R29">
        <f t="shared" si="0"/>
        <v>0</v>
      </c>
      <c r="S29" t="s">
        <v>21</v>
      </c>
      <c r="T29">
        <v>18</v>
      </c>
      <c r="U29" t="str">
        <f t="shared" si="1"/>
        <v>Asmita Ale:1</v>
      </c>
      <c r="AR29">
        <v>18</v>
      </c>
    </row>
    <row r="30" spans="1:44" x14ac:dyDescent="0.2">
      <c r="A30" t="s">
        <v>128</v>
      </c>
      <c r="B30" t="s">
        <v>636</v>
      </c>
      <c r="C30" t="s">
        <v>637</v>
      </c>
      <c r="D30" t="s">
        <v>34</v>
      </c>
      <c r="E30" t="s">
        <v>55</v>
      </c>
      <c r="F30">
        <v>25</v>
      </c>
      <c r="G30">
        <v>1996</v>
      </c>
      <c r="H30">
        <v>20</v>
      </c>
      <c r="I30">
        <v>13</v>
      </c>
      <c r="J30">
        <v>1066</v>
      </c>
      <c r="K30">
        <v>0</v>
      </c>
      <c r="L30">
        <v>2</v>
      </c>
      <c r="M30">
        <v>0</v>
      </c>
      <c r="N30">
        <v>0</v>
      </c>
      <c r="O30">
        <v>0</v>
      </c>
      <c r="P30">
        <v>0</v>
      </c>
      <c r="Q30">
        <v>0</v>
      </c>
      <c r="R30">
        <f t="shared" si="0"/>
        <v>0</v>
      </c>
      <c r="S30" t="s">
        <v>21</v>
      </c>
      <c r="T30">
        <v>30</v>
      </c>
      <c r="U30" t="str">
        <f t="shared" si="1"/>
        <v>Aurora Galli:2</v>
      </c>
      <c r="AR30">
        <v>16</v>
      </c>
    </row>
    <row r="31" spans="1:44" x14ac:dyDescent="0.2">
      <c r="A31" t="s">
        <v>45</v>
      </c>
      <c r="B31" t="s">
        <v>606</v>
      </c>
      <c r="C31" t="s">
        <v>607</v>
      </c>
      <c r="D31" t="s">
        <v>26</v>
      </c>
      <c r="E31" t="s">
        <v>46</v>
      </c>
      <c r="F31">
        <v>16</v>
      </c>
      <c r="G31">
        <v>2006</v>
      </c>
      <c r="H31">
        <v>9</v>
      </c>
      <c r="I31">
        <v>1</v>
      </c>
      <c r="J31">
        <v>158</v>
      </c>
      <c r="K31">
        <v>1</v>
      </c>
      <c r="L31">
        <v>0</v>
      </c>
      <c r="M31">
        <v>1</v>
      </c>
      <c r="N31">
        <v>0</v>
      </c>
      <c r="O31">
        <v>0</v>
      </c>
      <c r="P31">
        <v>0</v>
      </c>
      <c r="Q31">
        <v>0</v>
      </c>
      <c r="R31">
        <f t="shared" si="0"/>
        <v>7.0323488045007034E-5</v>
      </c>
      <c r="S31" t="s">
        <v>21</v>
      </c>
      <c r="T31">
        <v>16</v>
      </c>
      <c r="U31" t="str">
        <f t="shared" si="1"/>
        <v>Ava Baker:0</v>
      </c>
      <c r="AR31">
        <v>18</v>
      </c>
    </row>
    <row r="32" spans="1:44" x14ac:dyDescent="0.2">
      <c r="A32" t="s">
        <v>216</v>
      </c>
      <c r="B32" t="s">
        <v>606</v>
      </c>
      <c r="C32" t="s">
        <v>607</v>
      </c>
      <c r="D32" t="s">
        <v>26</v>
      </c>
      <c r="E32" t="s">
        <v>27</v>
      </c>
      <c r="F32">
        <v>27</v>
      </c>
      <c r="G32">
        <v>1995</v>
      </c>
      <c r="H32">
        <v>7</v>
      </c>
      <c r="I32">
        <v>7</v>
      </c>
      <c r="J32">
        <v>612</v>
      </c>
      <c r="K32">
        <v>3</v>
      </c>
      <c r="L32">
        <v>4</v>
      </c>
      <c r="M32">
        <v>3</v>
      </c>
      <c r="N32">
        <v>0</v>
      </c>
      <c r="O32">
        <v>0</v>
      </c>
      <c r="P32">
        <v>0</v>
      </c>
      <c r="Q32">
        <v>0</v>
      </c>
      <c r="R32">
        <f t="shared" si="0"/>
        <v>5.4466230936819171E-5</v>
      </c>
      <c r="S32" t="s">
        <v>21</v>
      </c>
      <c r="T32">
        <v>47</v>
      </c>
      <c r="U32" t="str">
        <f t="shared" si="1"/>
        <v>Beth Mead:4</v>
      </c>
      <c r="AR32">
        <v>30</v>
      </c>
    </row>
    <row r="33" spans="1:44" x14ac:dyDescent="0.2">
      <c r="A33" t="s">
        <v>111</v>
      </c>
      <c r="B33" t="s">
        <v>606</v>
      </c>
      <c r="C33" t="s">
        <v>607</v>
      </c>
      <c r="D33" t="s">
        <v>26</v>
      </c>
      <c r="E33" t="s">
        <v>20</v>
      </c>
      <c r="F33">
        <v>28</v>
      </c>
      <c r="G33">
        <v>1994</v>
      </c>
      <c r="H33">
        <v>8</v>
      </c>
      <c r="I33">
        <v>2</v>
      </c>
      <c r="J33">
        <v>255</v>
      </c>
      <c r="K33">
        <v>2</v>
      </c>
      <c r="L33">
        <v>0</v>
      </c>
      <c r="M33">
        <v>2</v>
      </c>
      <c r="N33">
        <v>0</v>
      </c>
      <c r="O33">
        <v>0</v>
      </c>
      <c r="P33">
        <v>0</v>
      </c>
      <c r="Q33">
        <v>0</v>
      </c>
      <c r="R33">
        <f t="shared" si="0"/>
        <v>8.714596949891067E-5</v>
      </c>
      <c r="S33" t="s">
        <v>21</v>
      </c>
      <c r="T33">
        <v>58</v>
      </c>
      <c r="U33" t="str">
        <f t="shared" si="1"/>
        <v>Bethany England:0</v>
      </c>
      <c r="AR33">
        <v>16</v>
      </c>
    </row>
    <row r="34" spans="1:44" x14ac:dyDescent="0.2">
      <c r="A34" t="s">
        <v>111</v>
      </c>
      <c r="B34" t="s">
        <v>606</v>
      </c>
      <c r="C34" t="s">
        <v>607</v>
      </c>
      <c r="D34" t="s">
        <v>26</v>
      </c>
      <c r="E34" t="s">
        <v>30</v>
      </c>
      <c r="F34">
        <v>28</v>
      </c>
      <c r="G34">
        <v>1994</v>
      </c>
      <c r="H34">
        <v>12</v>
      </c>
      <c r="I34">
        <v>12</v>
      </c>
      <c r="J34">
        <v>1009</v>
      </c>
      <c r="K34">
        <v>12</v>
      </c>
      <c r="L34">
        <v>1</v>
      </c>
      <c r="M34">
        <v>11</v>
      </c>
      <c r="N34">
        <v>1</v>
      </c>
      <c r="O34">
        <v>1</v>
      </c>
      <c r="P34">
        <v>0</v>
      </c>
      <c r="Q34">
        <v>0</v>
      </c>
      <c r="R34">
        <f t="shared" si="0"/>
        <v>1.3214403700033034E-4</v>
      </c>
      <c r="S34" t="s">
        <v>21</v>
      </c>
      <c r="T34">
        <v>18</v>
      </c>
      <c r="U34" t="str">
        <f t="shared" si="1"/>
        <v>Bethany England:1</v>
      </c>
      <c r="AR34">
        <v>16</v>
      </c>
    </row>
    <row r="35" spans="1:44" x14ac:dyDescent="0.2">
      <c r="A35" t="s">
        <v>316</v>
      </c>
      <c r="B35" t="s">
        <v>638</v>
      </c>
      <c r="C35" t="s">
        <v>639</v>
      </c>
      <c r="D35" t="s">
        <v>23</v>
      </c>
      <c r="E35" t="s">
        <v>48</v>
      </c>
      <c r="F35">
        <v>27</v>
      </c>
      <c r="G35">
        <v>1995</v>
      </c>
      <c r="H35">
        <v>10</v>
      </c>
      <c r="I35">
        <v>1</v>
      </c>
      <c r="J35">
        <v>213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f t="shared" si="0"/>
        <v>0</v>
      </c>
      <c r="S35" t="s">
        <v>21</v>
      </c>
      <c r="T35">
        <v>16</v>
      </c>
      <c r="U35" t="str">
        <f t="shared" si="1"/>
        <v>Brianna Visalli:0</v>
      </c>
      <c r="AR35">
        <v>47</v>
      </c>
    </row>
    <row r="36" spans="1:44" x14ac:dyDescent="0.2">
      <c r="A36" t="s">
        <v>155</v>
      </c>
      <c r="B36" t="s">
        <v>638</v>
      </c>
      <c r="C36" t="s">
        <v>639</v>
      </c>
      <c r="D36" t="s">
        <v>50</v>
      </c>
      <c r="E36" t="s">
        <v>35</v>
      </c>
      <c r="F36">
        <v>29</v>
      </c>
      <c r="G36">
        <v>1993</v>
      </c>
      <c r="H36">
        <v>7</v>
      </c>
      <c r="I36">
        <v>2</v>
      </c>
      <c r="J36">
        <v>214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f t="shared" si="0"/>
        <v>0</v>
      </c>
      <c r="S36" t="s">
        <v>21</v>
      </c>
      <c r="T36">
        <v>11</v>
      </c>
      <c r="U36" t="str">
        <f t="shared" si="1"/>
        <v>Brooke Hendrix:0</v>
      </c>
      <c r="AR36">
        <v>58</v>
      </c>
    </row>
    <row r="37" spans="1:44" x14ac:dyDescent="0.2">
      <c r="A37" t="s">
        <v>124</v>
      </c>
      <c r="B37" t="s">
        <v>612</v>
      </c>
      <c r="C37" t="s">
        <v>613</v>
      </c>
      <c r="D37" t="s">
        <v>42</v>
      </c>
      <c r="E37" t="s">
        <v>27</v>
      </c>
      <c r="F37">
        <v>27</v>
      </c>
      <c r="G37">
        <v>1994</v>
      </c>
      <c r="H37">
        <v>19</v>
      </c>
      <c r="I37">
        <v>18</v>
      </c>
      <c r="J37">
        <v>1335</v>
      </c>
      <c r="K37">
        <v>6</v>
      </c>
      <c r="L37">
        <v>6</v>
      </c>
      <c r="M37">
        <v>6</v>
      </c>
      <c r="N37">
        <v>0</v>
      </c>
      <c r="O37">
        <v>0</v>
      </c>
      <c r="P37">
        <v>3</v>
      </c>
      <c r="Q37">
        <v>0</v>
      </c>
      <c r="R37">
        <f t="shared" si="0"/>
        <v>4.9937578027465674E-5</v>
      </c>
      <c r="S37" t="s">
        <v>21</v>
      </c>
      <c r="T37">
        <v>47</v>
      </c>
      <c r="U37" t="str">
        <f t="shared" si="1"/>
        <v>Caitlin Foord:6</v>
      </c>
      <c r="AR37">
        <v>18</v>
      </c>
    </row>
    <row r="38" spans="1:44" x14ac:dyDescent="0.2">
      <c r="A38" t="s">
        <v>164</v>
      </c>
      <c r="B38" t="s">
        <v>606</v>
      </c>
      <c r="C38" t="s">
        <v>607</v>
      </c>
      <c r="D38" t="s">
        <v>42</v>
      </c>
      <c r="E38" t="s">
        <v>65</v>
      </c>
      <c r="F38">
        <v>25</v>
      </c>
      <c r="G38">
        <v>1996</v>
      </c>
      <c r="H38">
        <v>8</v>
      </c>
      <c r="I38">
        <v>1</v>
      </c>
      <c r="J38">
        <v>100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f t="shared" si="0"/>
        <v>0</v>
      </c>
      <c r="S38" t="s">
        <v>21</v>
      </c>
      <c r="T38">
        <v>23</v>
      </c>
      <c r="U38" t="str">
        <f t="shared" si="1"/>
        <v>Carla Humphrey:0</v>
      </c>
      <c r="W38" s="1" t="s">
        <v>685</v>
      </c>
      <c r="X38" t="s">
        <v>687</v>
      </c>
      <c r="Y38" t="s">
        <v>688</v>
      </c>
      <c r="Z38" t="s">
        <v>689</v>
      </c>
      <c r="AA38" t="s">
        <v>690</v>
      </c>
      <c r="AR38">
        <v>16</v>
      </c>
    </row>
    <row r="39" spans="1:44" x14ac:dyDescent="0.2">
      <c r="A39" t="s">
        <v>173</v>
      </c>
      <c r="B39" t="s">
        <v>624</v>
      </c>
      <c r="C39" t="s">
        <v>625</v>
      </c>
      <c r="D39" t="s">
        <v>42</v>
      </c>
      <c r="E39" t="s">
        <v>46</v>
      </c>
      <c r="F39">
        <v>18</v>
      </c>
      <c r="G39">
        <v>2003</v>
      </c>
      <c r="H39">
        <v>19</v>
      </c>
      <c r="I39">
        <v>15</v>
      </c>
      <c r="J39">
        <v>1268</v>
      </c>
      <c r="K39">
        <v>2</v>
      </c>
      <c r="L39">
        <v>0</v>
      </c>
      <c r="M39">
        <v>2</v>
      </c>
      <c r="N39">
        <v>0</v>
      </c>
      <c r="O39">
        <v>0</v>
      </c>
      <c r="P39">
        <v>1</v>
      </c>
      <c r="Q39">
        <v>0</v>
      </c>
      <c r="R39">
        <f t="shared" si="0"/>
        <v>1.7525411847178407E-5</v>
      </c>
      <c r="S39" t="s">
        <v>21</v>
      </c>
      <c r="T39">
        <v>16</v>
      </c>
      <c r="U39" t="str">
        <f t="shared" si="1"/>
        <v>Carrie Jones:0</v>
      </c>
      <c r="W39" s="2" t="s">
        <v>27</v>
      </c>
      <c r="X39" s="3">
        <v>281</v>
      </c>
      <c r="Y39" s="3">
        <v>210</v>
      </c>
      <c r="Z39" s="3">
        <v>95</v>
      </c>
      <c r="AA39" s="3">
        <v>2</v>
      </c>
      <c r="AR39">
        <v>11</v>
      </c>
    </row>
    <row r="40" spans="1:44" x14ac:dyDescent="0.2">
      <c r="A40" t="s">
        <v>166</v>
      </c>
      <c r="B40" t="s">
        <v>618</v>
      </c>
      <c r="C40" t="s">
        <v>619</v>
      </c>
      <c r="D40" t="s">
        <v>23</v>
      </c>
      <c r="E40" t="s">
        <v>30</v>
      </c>
      <c r="F40">
        <v>20</v>
      </c>
      <c r="G40">
        <v>2001</v>
      </c>
      <c r="H40">
        <v>22</v>
      </c>
      <c r="I40">
        <v>16</v>
      </c>
      <c r="J40">
        <v>1352</v>
      </c>
      <c r="K40">
        <v>2</v>
      </c>
      <c r="L40">
        <v>1</v>
      </c>
      <c r="M40">
        <v>2</v>
      </c>
      <c r="N40">
        <v>0</v>
      </c>
      <c r="O40">
        <v>0</v>
      </c>
      <c r="P40">
        <v>1</v>
      </c>
      <c r="Q40">
        <v>0</v>
      </c>
      <c r="R40">
        <f t="shared" si="0"/>
        <v>1.6436554898093359E-5</v>
      </c>
      <c r="S40" t="s">
        <v>21</v>
      </c>
      <c r="T40">
        <v>18</v>
      </c>
      <c r="U40" t="str">
        <f t="shared" si="1"/>
        <v>Celin Ildhusøy:1</v>
      </c>
      <c r="W40" s="2" t="s">
        <v>37</v>
      </c>
      <c r="X40" s="3">
        <v>71</v>
      </c>
      <c r="Y40" s="3">
        <v>50</v>
      </c>
      <c r="Z40" s="3">
        <v>79</v>
      </c>
      <c r="AA40" s="3">
        <v>0</v>
      </c>
      <c r="AR40">
        <v>47</v>
      </c>
    </row>
    <row r="41" spans="1:44" x14ac:dyDescent="0.2">
      <c r="A41" t="s">
        <v>158</v>
      </c>
      <c r="B41" t="s">
        <v>624</v>
      </c>
      <c r="C41" t="s">
        <v>625</v>
      </c>
      <c r="D41" t="s">
        <v>34</v>
      </c>
      <c r="E41" t="s">
        <v>65</v>
      </c>
      <c r="F41">
        <v>24</v>
      </c>
      <c r="G41">
        <v>1997</v>
      </c>
      <c r="H41">
        <v>19</v>
      </c>
      <c r="I41">
        <v>17</v>
      </c>
      <c r="J41">
        <v>1513</v>
      </c>
      <c r="K41">
        <v>4</v>
      </c>
      <c r="L41">
        <v>0</v>
      </c>
      <c r="M41">
        <v>4</v>
      </c>
      <c r="N41">
        <v>0</v>
      </c>
      <c r="O41">
        <v>0</v>
      </c>
      <c r="P41">
        <v>6</v>
      </c>
      <c r="Q41">
        <v>0</v>
      </c>
      <c r="R41">
        <f t="shared" si="0"/>
        <v>2.9375045898509215E-5</v>
      </c>
      <c r="S41" t="s">
        <v>21</v>
      </c>
      <c r="T41">
        <v>23</v>
      </c>
      <c r="U41" t="str">
        <f t="shared" si="1"/>
        <v>Ceri Holland:0</v>
      </c>
      <c r="W41" s="2" t="s">
        <v>360</v>
      </c>
      <c r="X41" s="3">
        <v>61</v>
      </c>
      <c r="Y41" s="3">
        <v>42</v>
      </c>
      <c r="Z41" s="3">
        <v>71</v>
      </c>
      <c r="AA41" s="3">
        <v>3</v>
      </c>
      <c r="AR41">
        <v>23</v>
      </c>
    </row>
    <row r="42" spans="1:44" x14ac:dyDescent="0.2">
      <c r="A42" t="s">
        <v>68</v>
      </c>
      <c r="B42" t="s">
        <v>606</v>
      </c>
      <c r="C42" t="s">
        <v>607</v>
      </c>
      <c r="D42" t="s">
        <v>42</v>
      </c>
      <c r="E42" t="s">
        <v>37</v>
      </c>
      <c r="F42">
        <v>26</v>
      </c>
      <c r="G42">
        <v>1995</v>
      </c>
      <c r="H42">
        <v>4</v>
      </c>
      <c r="I42">
        <v>0</v>
      </c>
      <c r="J42">
        <v>61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f t="shared" si="0"/>
        <v>0</v>
      </c>
      <c r="S42" t="s">
        <v>21</v>
      </c>
      <c r="T42">
        <v>37</v>
      </c>
      <c r="U42" t="str">
        <f t="shared" si="1"/>
        <v>Chantelle Boye-Hlorkah:0</v>
      </c>
      <c r="W42" s="2" t="s">
        <v>48</v>
      </c>
      <c r="X42" s="3">
        <v>97</v>
      </c>
      <c r="Y42" s="3">
        <v>60</v>
      </c>
      <c r="Z42" s="3">
        <v>112</v>
      </c>
      <c r="AA42" s="3">
        <v>3</v>
      </c>
      <c r="AR42">
        <v>16</v>
      </c>
    </row>
    <row r="43" spans="1:44" x14ac:dyDescent="0.2">
      <c r="A43" t="s">
        <v>323</v>
      </c>
      <c r="B43" t="s">
        <v>606</v>
      </c>
      <c r="C43" t="s">
        <v>607</v>
      </c>
      <c r="D43" t="s">
        <v>42</v>
      </c>
      <c r="E43" t="s">
        <v>35</v>
      </c>
      <c r="F43">
        <v>24</v>
      </c>
      <c r="G43">
        <v>1998</v>
      </c>
      <c r="H43">
        <v>20</v>
      </c>
      <c r="I43">
        <v>14</v>
      </c>
      <c r="J43">
        <v>1310</v>
      </c>
      <c r="K43">
        <v>4</v>
      </c>
      <c r="L43">
        <v>2</v>
      </c>
      <c r="M43">
        <v>4</v>
      </c>
      <c r="N43">
        <v>0</v>
      </c>
      <c r="O43">
        <v>0</v>
      </c>
      <c r="P43">
        <v>1</v>
      </c>
      <c r="Q43">
        <v>0</v>
      </c>
      <c r="R43">
        <f t="shared" si="0"/>
        <v>3.3927056827820189E-5</v>
      </c>
      <c r="S43" t="s">
        <v>21</v>
      </c>
      <c r="T43">
        <v>11</v>
      </c>
      <c r="U43" t="str">
        <f t="shared" si="1"/>
        <v>Charlie Wellings:2</v>
      </c>
      <c r="W43" s="2" t="s">
        <v>426</v>
      </c>
      <c r="X43" s="3">
        <v>41</v>
      </c>
      <c r="Y43" s="3">
        <v>22</v>
      </c>
      <c r="Z43" s="3">
        <v>42</v>
      </c>
      <c r="AA43" s="3">
        <v>0</v>
      </c>
      <c r="AR43">
        <v>18</v>
      </c>
    </row>
    <row r="44" spans="1:44" x14ac:dyDescent="0.2">
      <c r="A44" t="s">
        <v>321</v>
      </c>
      <c r="B44" t="s">
        <v>606</v>
      </c>
      <c r="C44" t="s">
        <v>607</v>
      </c>
      <c r="D44" t="s">
        <v>94</v>
      </c>
      <c r="E44" t="s">
        <v>65</v>
      </c>
      <c r="F44">
        <v>19</v>
      </c>
      <c r="G44">
        <v>2003</v>
      </c>
      <c r="H44">
        <v>4</v>
      </c>
      <c r="I44">
        <v>1</v>
      </c>
      <c r="J44">
        <v>132</v>
      </c>
      <c r="K44">
        <v>0</v>
      </c>
      <c r="L44">
        <v>0</v>
      </c>
      <c r="M44">
        <v>0</v>
      </c>
      <c r="N44">
        <v>0</v>
      </c>
      <c r="O44">
        <v>0</v>
      </c>
      <c r="P44">
        <v>1</v>
      </c>
      <c r="Q44">
        <v>0</v>
      </c>
      <c r="R44">
        <f t="shared" si="0"/>
        <v>0</v>
      </c>
      <c r="S44" t="s">
        <v>21</v>
      </c>
      <c r="T44">
        <v>23</v>
      </c>
      <c r="U44" t="str">
        <f t="shared" si="1"/>
        <v>Charlotte Wardlaw:0</v>
      </c>
      <c r="W44" s="2" t="s">
        <v>20</v>
      </c>
      <c r="X44" s="3">
        <v>289</v>
      </c>
      <c r="Y44" s="3">
        <v>207</v>
      </c>
      <c r="Z44" s="3">
        <v>58</v>
      </c>
      <c r="AA44" s="3">
        <v>1</v>
      </c>
      <c r="AR44">
        <v>23</v>
      </c>
    </row>
    <row r="45" spans="1:44" x14ac:dyDescent="0.2">
      <c r="A45" t="s">
        <v>116</v>
      </c>
      <c r="B45" t="s">
        <v>606</v>
      </c>
      <c r="C45" t="s">
        <v>607</v>
      </c>
      <c r="D45" t="s">
        <v>34</v>
      </c>
      <c r="E45" t="s">
        <v>48</v>
      </c>
      <c r="F45">
        <v>17</v>
      </c>
      <c r="G45">
        <v>2004</v>
      </c>
      <c r="H45">
        <v>2</v>
      </c>
      <c r="I45">
        <v>0</v>
      </c>
      <c r="J45">
        <v>27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f t="shared" si="0"/>
        <v>0</v>
      </c>
      <c r="S45" t="s">
        <v>21</v>
      </c>
      <c r="T45">
        <v>16</v>
      </c>
      <c r="U45" t="str">
        <f t="shared" si="1"/>
        <v>Chelsea Ferguson:0</v>
      </c>
      <c r="W45" s="2" t="s">
        <v>55</v>
      </c>
      <c r="X45" s="3">
        <v>117</v>
      </c>
      <c r="Y45" s="3">
        <v>80</v>
      </c>
      <c r="Z45" s="3">
        <v>95</v>
      </c>
      <c r="AA45" s="3">
        <v>1</v>
      </c>
      <c r="AR45">
        <v>37</v>
      </c>
    </row>
    <row r="46" spans="1:44" x14ac:dyDescent="0.2">
      <c r="A46" t="s">
        <v>312</v>
      </c>
      <c r="B46" t="s">
        <v>606</v>
      </c>
      <c r="C46" t="s">
        <v>607</v>
      </c>
      <c r="D46" t="s">
        <v>42</v>
      </c>
      <c r="E46" t="s">
        <v>30</v>
      </c>
      <c r="F46">
        <v>29</v>
      </c>
      <c r="G46">
        <v>1992</v>
      </c>
      <c r="H46">
        <v>9</v>
      </c>
      <c r="I46">
        <v>2</v>
      </c>
      <c r="J46">
        <v>219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f t="shared" si="0"/>
        <v>0</v>
      </c>
      <c r="S46" t="s">
        <v>21</v>
      </c>
      <c r="T46">
        <v>18</v>
      </c>
      <c r="U46" t="str">
        <f t="shared" si="1"/>
        <v>Chioma Ubogagu:0</v>
      </c>
      <c r="W46" s="2" t="s">
        <v>46</v>
      </c>
      <c r="X46" s="3">
        <v>27</v>
      </c>
      <c r="Y46" s="3">
        <v>20</v>
      </c>
      <c r="Z46" s="3">
        <v>57</v>
      </c>
      <c r="AA46" s="3">
        <v>2</v>
      </c>
      <c r="AR46">
        <v>37</v>
      </c>
    </row>
    <row r="47" spans="1:44" x14ac:dyDescent="0.2">
      <c r="A47" t="s">
        <v>177</v>
      </c>
      <c r="B47" t="s">
        <v>606</v>
      </c>
      <c r="C47" t="s">
        <v>607</v>
      </c>
      <c r="D47" t="s">
        <v>26</v>
      </c>
      <c r="E47" t="s">
        <v>32</v>
      </c>
      <c r="F47">
        <v>24</v>
      </c>
      <c r="G47">
        <v>1998</v>
      </c>
      <c r="H47">
        <v>22</v>
      </c>
      <c r="I47">
        <v>21</v>
      </c>
      <c r="J47">
        <v>1768</v>
      </c>
      <c r="K47">
        <v>5</v>
      </c>
      <c r="L47">
        <v>9</v>
      </c>
      <c r="M47">
        <v>5</v>
      </c>
      <c r="N47">
        <v>0</v>
      </c>
      <c r="O47">
        <v>0</v>
      </c>
      <c r="P47">
        <v>4</v>
      </c>
      <c r="Q47">
        <v>0</v>
      </c>
      <c r="R47">
        <f t="shared" si="0"/>
        <v>3.1422825540472596E-5</v>
      </c>
      <c r="S47" t="s">
        <v>21</v>
      </c>
      <c r="T47">
        <v>47</v>
      </c>
      <c r="U47" t="str">
        <f t="shared" si="1"/>
        <v>Chloe Kelly:9</v>
      </c>
      <c r="W47" s="2" t="s">
        <v>65</v>
      </c>
      <c r="X47" s="3">
        <v>53</v>
      </c>
      <c r="Y47" s="3">
        <v>30</v>
      </c>
      <c r="Z47" s="3">
        <v>62</v>
      </c>
      <c r="AA47" s="3">
        <v>2</v>
      </c>
      <c r="AR47">
        <v>11</v>
      </c>
    </row>
    <row r="48" spans="1:44" x14ac:dyDescent="0.2">
      <c r="A48" t="s">
        <v>284</v>
      </c>
      <c r="B48" t="s">
        <v>640</v>
      </c>
      <c r="C48" t="s">
        <v>641</v>
      </c>
      <c r="D48" t="s">
        <v>34</v>
      </c>
      <c r="E48" t="s">
        <v>30</v>
      </c>
      <c r="F48">
        <v>34</v>
      </c>
      <c r="G48">
        <v>1988</v>
      </c>
      <c r="H48">
        <v>9</v>
      </c>
      <c r="I48">
        <v>4</v>
      </c>
      <c r="J48">
        <v>317</v>
      </c>
      <c r="K48">
        <v>0</v>
      </c>
      <c r="L48">
        <v>2</v>
      </c>
      <c r="M48">
        <v>0</v>
      </c>
      <c r="N48">
        <v>0</v>
      </c>
      <c r="O48">
        <v>0</v>
      </c>
      <c r="P48">
        <v>0</v>
      </c>
      <c r="Q48">
        <v>0</v>
      </c>
      <c r="R48">
        <f t="shared" si="0"/>
        <v>0</v>
      </c>
      <c r="S48" t="s">
        <v>21</v>
      </c>
      <c r="T48">
        <v>18</v>
      </c>
      <c r="U48" t="str">
        <f t="shared" si="1"/>
        <v>Cho So-hyun:2</v>
      </c>
      <c r="W48" s="2" t="s">
        <v>32</v>
      </c>
      <c r="X48" s="3">
        <v>258</v>
      </c>
      <c r="Y48" s="3">
        <v>191</v>
      </c>
      <c r="Z48" s="3">
        <v>73</v>
      </c>
      <c r="AA48" s="3">
        <v>3</v>
      </c>
      <c r="AR48">
        <v>23</v>
      </c>
    </row>
    <row r="49" spans="1:44" x14ac:dyDescent="0.2">
      <c r="A49" t="s">
        <v>67</v>
      </c>
      <c r="B49" t="s">
        <v>628</v>
      </c>
      <c r="C49" t="s">
        <v>629</v>
      </c>
      <c r="D49" t="s">
        <v>29</v>
      </c>
      <c r="E49" t="s">
        <v>46</v>
      </c>
      <c r="F49">
        <v>27</v>
      </c>
      <c r="G49">
        <v>1995</v>
      </c>
      <c r="H49">
        <v>19</v>
      </c>
      <c r="I49">
        <v>13</v>
      </c>
      <c r="J49">
        <v>1234</v>
      </c>
      <c r="K49">
        <v>0</v>
      </c>
      <c r="L49">
        <v>0</v>
      </c>
      <c r="M49">
        <v>0</v>
      </c>
      <c r="N49">
        <v>0</v>
      </c>
      <c r="O49">
        <v>0</v>
      </c>
      <c r="P49">
        <v>4</v>
      </c>
      <c r="Q49">
        <v>0</v>
      </c>
      <c r="R49">
        <f t="shared" si="0"/>
        <v>0</v>
      </c>
      <c r="S49" t="s">
        <v>21</v>
      </c>
      <c r="T49">
        <v>16</v>
      </c>
      <c r="U49" t="str">
        <f t="shared" si="1"/>
        <v>CJ Bott:0</v>
      </c>
      <c r="W49" s="2" t="s">
        <v>52</v>
      </c>
      <c r="X49" s="3">
        <v>162</v>
      </c>
      <c r="Y49" s="3">
        <v>116</v>
      </c>
      <c r="Z49" s="3">
        <v>89</v>
      </c>
      <c r="AA49" s="3">
        <v>3</v>
      </c>
      <c r="AR49">
        <v>16</v>
      </c>
    </row>
    <row r="50" spans="1:44" x14ac:dyDescent="0.2">
      <c r="A50" t="s">
        <v>324</v>
      </c>
      <c r="B50" t="s">
        <v>612</v>
      </c>
      <c r="C50" t="s">
        <v>613</v>
      </c>
      <c r="D50" t="s">
        <v>34</v>
      </c>
      <c r="E50" t="s">
        <v>55</v>
      </c>
      <c r="F50">
        <v>24</v>
      </c>
      <c r="G50">
        <v>1998</v>
      </c>
      <c r="H50">
        <v>17</v>
      </c>
      <c r="I50">
        <v>12</v>
      </c>
      <c r="J50">
        <v>1157</v>
      </c>
      <c r="K50">
        <v>0</v>
      </c>
      <c r="L50">
        <v>1</v>
      </c>
      <c r="M50">
        <v>0</v>
      </c>
      <c r="N50">
        <v>0</v>
      </c>
      <c r="O50">
        <v>0</v>
      </c>
      <c r="P50">
        <v>0</v>
      </c>
      <c r="Q50">
        <v>0</v>
      </c>
      <c r="R50">
        <f t="shared" si="0"/>
        <v>0</v>
      </c>
      <c r="S50" t="s">
        <v>21</v>
      </c>
      <c r="T50">
        <v>30</v>
      </c>
      <c r="U50" t="str">
        <f t="shared" si="1"/>
        <v>Clare Wheeler:1</v>
      </c>
      <c r="W50" s="2" t="s">
        <v>35</v>
      </c>
      <c r="X50" s="3">
        <v>118</v>
      </c>
      <c r="Y50" s="3">
        <v>76</v>
      </c>
      <c r="Z50" s="3">
        <v>125</v>
      </c>
      <c r="AA50" s="3">
        <v>4</v>
      </c>
      <c r="AR50">
        <v>18</v>
      </c>
    </row>
    <row r="51" spans="1:44" x14ac:dyDescent="0.2">
      <c r="A51" t="s">
        <v>318</v>
      </c>
      <c r="B51" t="s">
        <v>606</v>
      </c>
      <c r="C51" t="s">
        <v>607</v>
      </c>
      <c r="D51" t="s">
        <v>26</v>
      </c>
      <c r="E51" t="s">
        <v>24</v>
      </c>
      <c r="F51">
        <v>26</v>
      </c>
      <c r="G51">
        <v>1996</v>
      </c>
      <c r="H51">
        <v>8</v>
      </c>
      <c r="I51">
        <v>2</v>
      </c>
      <c r="J51">
        <v>247</v>
      </c>
      <c r="K51">
        <v>0</v>
      </c>
      <c r="L51">
        <v>0</v>
      </c>
      <c r="M51">
        <v>0</v>
      </c>
      <c r="N51">
        <v>0</v>
      </c>
      <c r="O51">
        <v>0</v>
      </c>
      <c r="P51">
        <v>1</v>
      </c>
      <c r="Q51">
        <v>0</v>
      </c>
      <c r="R51">
        <f t="shared" si="0"/>
        <v>0</v>
      </c>
      <c r="S51" t="s">
        <v>21</v>
      </c>
      <c r="T51">
        <v>21</v>
      </c>
      <c r="U51" t="str">
        <f t="shared" si="1"/>
        <v>Claudia Walker:0</v>
      </c>
      <c r="W51" s="2" t="s">
        <v>30</v>
      </c>
      <c r="X51" s="3">
        <v>82</v>
      </c>
      <c r="Y51" s="3">
        <v>52</v>
      </c>
      <c r="Z51" s="3">
        <v>123</v>
      </c>
      <c r="AA51" s="3">
        <v>4</v>
      </c>
      <c r="AR51">
        <v>47</v>
      </c>
    </row>
    <row r="52" spans="1:44" x14ac:dyDescent="0.2">
      <c r="A52" t="s">
        <v>271</v>
      </c>
      <c r="B52" t="s">
        <v>606</v>
      </c>
      <c r="C52" t="s">
        <v>607</v>
      </c>
      <c r="D52" t="s">
        <v>23</v>
      </c>
      <c r="E52" t="s">
        <v>46</v>
      </c>
      <c r="F52">
        <v>23</v>
      </c>
      <c r="G52">
        <v>1999</v>
      </c>
      <c r="H52">
        <v>2</v>
      </c>
      <c r="I52">
        <v>0</v>
      </c>
      <c r="J52">
        <v>8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f t="shared" si="0"/>
        <v>0</v>
      </c>
      <c r="S52" t="s">
        <v>21</v>
      </c>
      <c r="T52">
        <v>16</v>
      </c>
      <c r="U52" t="str">
        <f t="shared" si="1"/>
        <v>Connie Scofield:0</v>
      </c>
      <c r="W52" s="2" t="s">
        <v>24</v>
      </c>
      <c r="X52" s="3">
        <v>103</v>
      </c>
      <c r="Y52" s="3">
        <v>71</v>
      </c>
      <c r="Z52" s="3">
        <v>126</v>
      </c>
      <c r="AA52" s="3">
        <v>7</v>
      </c>
      <c r="AR52">
        <v>18</v>
      </c>
    </row>
    <row r="53" spans="1:44" x14ac:dyDescent="0.2">
      <c r="A53" t="s">
        <v>71</v>
      </c>
      <c r="B53" t="s">
        <v>632</v>
      </c>
      <c r="C53" t="s">
        <v>633</v>
      </c>
      <c r="D53" t="s">
        <v>40</v>
      </c>
      <c r="E53" t="s">
        <v>55</v>
      </c>
      <c r="F53">
        <v>26</v>
      </c>
      <c r="G53">
        <v>1995</v>
      </c>
      <c r="H53">
        <v>14</v>
      </c>
      <c r="I53">
        <v>14</v>
      </c>
      <c r="J53">
        <v>1260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f t="shared" si="0"/>
        <v>0</v>
      </c>
      <c r="S53" t="s">
        <v>21</v>
      </c>
      <c r="T53">
        <v>30</v>
      </c>
      <c r="U53" t="str">
        <f t="shared" si="1"/>
        <v>Courtney Brosnan:0</v>
      </c>
      <c r="W53" s="2" t="s">
        <v>547</v>
      </c>
      <c r="X53" s="3">
        <v>11</v>
      </c>
      <c r="Y53" s="3">
        <v>6</v>
      </c>
      <c r="Z53" s="3">
        <v>12</v>
      </c>
      <c r="AA53" s="3">
        <v>1</v>
      </c>
      <c r="AR53">
        <v>16</v>
      </c>
    </row>
    <row r="54" spans="1:44" x14ac:dyDescent="0.2">
      <c r="A54" t="s">
        <v>229</v>
      </c>
      <c r="B54" t="s">
        <v>612</v>
      </c>
      <c r="C54" t="s">
        <v>613</v>
      </c>
      <c r="D54" t="s">
        <v>50</v>
      </c>
      <c r="E54" t="s">
        <v>46</v>
      </c>
      <c r="F54">
        <v>20</v>
      </c>
      <c r="G54">
        <v>2002</v>
      </c>
      <c r="H54">
        <v>12</v>
      </c>
      <c r="I54">
        <v>12</v>
      </c>
      <c r="J54">
        <v>1070</v>
      </c>
      <c r="K54">
        <v>0</v>
      </c>
      <c r="L54">
        <v>4</v>
      </c>
      <c r="M54">
        <v>0</v>
      </c>
      <c r="N54">
        <v>0</v>
      </c>
      <c r="O54">
        <v>0</v>
      </c>
      <c r="P54">
        <v>1</v>
      </c>
      <c r="Q54">
        <v>0</v>
      </c>
      <c r="R54">
        <f t="shared" si="0"/>
        <v>0</v>
      </c>
      <c r="S54" t="s">
        <v>21</v>
      </c>
      <c r="T54">
        <v>16</v>
      </c>
      <c r="U54" t="str">
        <f t="shared" si="1"/>
        <v>Courtney Nevin:4</v>
      </c>
      <c r="W54" s="2" t="s">
        <v>686</v>
      </c>
      <c r="X54" s="3">
        <v>1771</v>
      </c>
      <c r="Y54" s="3">
        <v>1233</v>
      </c>
      <c r="Z54" s="3">
        <v>1219</v>
      </c>
      <c r="AA54" s="3">
        <v>36</v>
      </c>
      <c r="AR54">
        <v>16</v>
      </c>
    </row>
    <row r="55" spans="1:44" x14ac:dyDescent="0.2">
      <c r="A55" t="s">
        <v>73</v>
      </c>
      <c r="B55" t="s">
        <v>642</v>
      </c>
      <c r="C55" t="s">
        <v>643</v>
      </c>
      <c r="D55" t="s">
        <v>34</v>
      </c>
      <c r="E55" t="s">
        <v>24</v>
      </c>
      <c r="F55">
        <v>30</v>
      </c>
      <c r="G55">
        <v>1991</v>
      </c>
      <c r="H55">
        <v>21</v>
      </c>
      <c r="I55">
        <v>20</v>
      </c>
      <c r="J55">
        <v>1762</v>
      </c>
      <c r="K55">
        <v>6</v>
      </c>
      <c r="L55">
        <v>1</v>
      </c>
      <c r="M55">
        <v>5</v>
      </c>
      <c r="N55">
        <v>1</v>
      </c>
      <c r="O55">
        <v>2</v>
      </c>
      <c r="P55">
        <v>1</v>
      </c>
      <c r="Q55">
        <v>0</v>
      </c>
      <c r="R55">
        <f t="shared" si="0"/>
        <v>3.7835792659856222E-5</v>
      </c>
      <c r="S55" t="s">
        <v>21</v>
      </c>
      <c r="T55">
        <v>21</v>
      </c>
      <c r="U55" t="str">
        <f t="shared" si="1"/>
        <v>Dagný Brynjarsdóttir:1</v>
      </c>
      <c r="AR55">
        <v>30</v>
      </c>
    </row>
    <row r="56" spans="1:44" x14ac:dyDescent="0.2">
      <c r="A56" t="s">
        <v>82</v>
      </c>
      <c r="B56" t="s">
        <v>606</v>
      </c>
      <c r="C56" t="s">
        <v>607</v>
      </c>
      <c r="D56" t="s">
        <v>42</v>
      </c>
      <c r="E56" t="s">
        <v>48</v>
      </c>
      <c r="F56">
        <v>29</v>
      </c>
      <c r="G56">
        <v>1993</v>
      </c>
      <c r="H56">
        <v>20</v>
      </c>
      <c r="I56">
        <v>7</v>
      </c>
      <c r="J56">
        <v>825</v>
      </c>
      <c r="K56">
        <v>5</v>
      </c>
      <c r="L56">
        <v>1</v>
      </c>
      <c r="M56">
        <v>2</v>
      </c>
      <c r="N56">
        <v>3</v>
      </c>
      <c r="O56">
        <v>3</v>
      </c>
      <c r="P56">
        <v>2</v>
      </c>
      <c r="Q56">
        <v>0</v>
      </c>
      <c r="R56">
        <f t="shared" si="0"/>
        <v>6.7340067340067335E-5</v>
      </c>
      <c r="S56" t="s">
        <v>21</v>
      </c>
      <c r="T56">
        <v>16</v>
      </c>
      <c r="U56" t="str">
        <f t="shared" si="1"/>
        <v>Danielle Carter:1</v>
      </c>
      <c r="AR56">
        <v>21</v>
      </c>
    </row>
    <row r="57" spans="1:44" x14ac:dyDescent="0.2">
      <c r="A57" t="s">
        <v>309</v>
      </c>
      <c r="B57" t="s">
        <v>606</v>
      </c>
      <c r="C57" t="s">
        <v>607</v>
      </c>
      <c r="D57" t="s">
        <v>50</v>
      </c>
      <c r="E57" t="s">
        <v>37</v>
      </c>
      <c r="F57">
        <v>31</v>
      </c>
      <c r="G57">
        <v>1991</v>
      </c>
      <c r="H57">
        <v>22</v>
      </c>
      <c r="I57">
        <v>22</v>
      </c>
      <c r="J57">
        <v>1935</v>
      </c>
      <c r="K57">
        <v>0</v>
      </c>
      <c r="L57">
        <v>0</v>
      </c>
      <c r="M57">
        <v>0</v>
      </c>
      <c r="N57">
        <v>0</v>
      </c>
      <c r="O57">
        <v>0</v>
      </c>
      <c r="P57">
        <v>1</v>
      </c>
      <c r="Q57">
        <v>0</v>
      </c>
      <c r="R57">
        <f t="shared" si="0"/>
        <v>0</v>
      </c>
      <c r="S57" t="s">
        <v>21</v>
      </c>
      <c r="T57">
        <v>37</v>
      </c>
      <c r="U57" t="str">
        <f t="shared" si="1"/>
        <v>Danielle Turner:0</v>
      </c>
      <c r="AR57">
        <v>16</v>
      </c>
    </row>
    <row r="58" spans="1:44" x14ac:dyDescent="0.2">
      <c r="A58" t="s">
        <v>97</v>
      </c>
      <c r="B58" t="s">
        <v>606</v>
      </c>
      <c r="C58" t="s">
        <v>607</v>
      </c>
      <c r="D58" t="s">
        <v>50</v>
      </c>
      <c r="E58" t="s">
        <v>35</v>
      </c>
      <c r="F58">
        <v>29</v>
      </c>
      <c r="G58">
        <v>1993</v>
      </c>
      <c r="H58">
        <v>14</v>
      </c>
      <c r="I58">
        <v>11</v>
      </c>
      <c r="J58">
        <v>1001</v>
      </c>
      <c r="K58">
        <v>1</v>
      </c>
      <c r="L58">
        <v>0</v>
      </c>
      <c r="M58">
        <v>1</v>
      </c>
      <c r="N58">
        <v>0</v>
      </c>
      <c r="O58">
        <v>0</v>
      </c>
      <c r="P58">
        <v>5</v>
      </c>
      <c r="Q58">
        <v>0</v>
      </c>
      <c r="R58">
        <f t="shared" si="0"/>
        <v>1.11000111000111E-5</v>
      </c>
      <c r="S58" t="s">
        <v>21</v>
      </c>
      <c r="T58">
        <v>11</v>
      </c>
      <c r="U58" t="str">
        <f t="shared" si="1"/>
        <v>Deanna Cooper:0</v>
      </c>
      <c r="AR58">
        <v>30</v>
      </c>
    </row>
    <row r="59" spans="1:44" x14ac:dyDescent="0.2">
      <c r="A59" t="s">
        <v>265</v>
      </c>
      <c r="B59" t="s">
        <v>608</v>
      </c>
      <c r="C59" t="s">
        <v>609</v>
      </c>
      <c r="D59" t="s">
        <v>26</v>
      </c>
      <c r="E59" t="s">
        <v>35</v>
      </c>
      <c r="F59">
        <v>23</v>
      </c>
      <c r="G59">
        <v>1999</v>
      </c>
      <c r="H59">
        <v>3</v>
      </c>
      <c r="I59">
        <v>2</v>
      </c>
      <c r="J59">
        <v>87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f t="shared" si="0"/>
        <v>0</v>
      </c>
      <c r="S59" t="s">
        <v>21</v>
      </c>
      <c r="T59">
        <v>11</v>
      </c>
      <c r="U59" t="str">
        <f t="shared" si="1"/>
        <v>Deanne Rose:0</v>
      </c>
      <c r="AR59">
        <v>16</v>
      </c>
    </row>
    <row r="60" spans="1:44" x14ac:dyDescent="0.2">
      <c r="A60" t="s">
        <v>288</v>
      </c>
      <c r="B60" t="s">
        <v>644</v>
      </c>
      <c r="C60" t="s">
        <v>645</v>
      </c>
      <c r="D60" t="s">
        <v>34</v>
      </c>
      <c r="E60" t="s">
        <v>48</v>
      </c>
      <c r="F60">
        <v>25</v>
      </c>
      <c r="G60">
        <v>1997</v>
      </c>
      <c r="H60">
        <v>6</v>
      </c>
      <c r="I60">
        <v>2</v>
      </c>
      <c r="J60">
        <v>127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f t="shared" si="0"/>
        <v>0</v>
      </c>
      <c r="S60" t="s">
        <v>21</v>
      </c>
      <c r="T60">
        <v>16</v>
      </c>
      <c r="U60" t="str">
        <f t="shared" si="1"/>
        <v>Dejana Stefanović:0</v>
      </c>
      <c r="AR60">
        <v>21</v>
      </c>
    </row>
    <row r="61" spans="1:44" x14ac:dyDescent="0.2">
      <c r="A61" t="s">
        <v>189</v>
      </c>
      <c r="B61" t="s">
        <v>606</v>
      </c>
      <c r="C61" t="s">
        <v>607</v>
      </c>
      <c r="D61" t="s">
        <v>40</v>
      </c>
      <c r="E61" t="s">
        <v>46</v>
      </c>
      <c r="F61">
        <v>26</v>
      </c>
      <c r="G61">
        <v>1996</v>
      </c>
      <c r="H61">
        <v>2</v>
      </c>
      <c r="I61">
        <v>2</v>
      </c>
      <c r="J61">
        <v>180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f t="shared" si="0"/>
        <v>0</v>
      </c>
      <c r="S61" t="s">
        <v>21</v>
      </c>
      <c r="T61">
        <v>16</v>
      </c>
      <c r="U61" t="str">
        <f t="shared" si="1"/>
        <v>Demi Lambourne:0</v>
      </c>
      <c r="AR61">
        <v>16</v>
      </c>
    </row>
    <row r="62" spans="1:44" x14ac:dyDescent="0.2">
      <c r="A62" t="s">
        <v>291</v>
      </c>
      <c r="B62" t="s">
        <v>606</v>
      </c>
      <c r="C62" t="s">
        <v>607</v>
      </c>
      <c r="D62" t="s">
        <v>50</v>
      </c>
      <c r="E62" t="s">
        <v>32</v>
      </c>
      <c r="F62">
        <v>30</v>
      </c>
      <c r="G62">
        <v>1991</v>
      </c>
      <c r="H62">
        <v>3</v>
      </c>
      <c r="I62">
        <v>2</v>
      </c>
      <c r="J62">
        <v>182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f t="shared" si="0"/>
        <v>0</v>
      </c>
      <c r="S62" t="s">
        <v>21</v>
      </c>
      <c r="T62">
        <v>47</v>
      </c>
      <c r="U62" t="str">
        <f t="shared" si="1"/>
        <v>Demi Stokes:0</v>
      </c>
      <c r="AR62">
        <v>37</v>
      </c>
    </row>
    <row r="63" spans="1:44" x14ac:dyDescent="0.2">
      <c r="A63" t="s">
        <v>313</v>
      </c>
      <c r="B63" t="s">
        <v>646</v>
      </c>
      <c r="C63" t="s">
        <v>647</v>
      </c>
      <c r="D63" t="s">
        <v>50</v>
      </c>
      <c r="E63" t="s">
        <v>46</v>
      </c>
      <c r="F63">
        <v>31</v>
      </c>
      <c r="G63">
        <v>1991</v>
      </c>
      <c r="H63">
        <v>3</v>
      </c>
      <c r="I63">
        <v>1</v>
      </c>
      <c r="J63">
        <v>124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f t="shared" si="0"/>
        <v>0</v>
      </c>
      <c r="S63" t="s">
        <v>21</v>
      </c>
      <c r="T63">
        <v>16</v>
      </c>
      <c r="U63" t="str">
        <f t="shared" si="1"/>
        <v>Demi Vance:0</v>
      </c>
      <c r="AR63">
        <v>11</v>
      </c>
    </row>
    <row r="64" spans="1:44" x14ac:dyDescent="0.2">
      <c r="A64" t="s">
        <v>86</v>
      </c>
      <c r="B64" t="s">
        <v>648</v>
      </c>
      <c r="C64" t="s">
        <v>649</v>
      </c>
      <c r="D64" t="s">
        <v>34</v>
      </c>
      <c r="E64" t="s">
        <v>32</v>
      </c>
      <c r="F64">
        <v>23</v>
      </c>
      <c r="G64">
        <v>1999</v>
      </c>
      <c r="H64">
        <v>19</v>
      </c>
      <c r="I64">
        <v>12</v>
      </c>
      <c r="J64">
        <v>1079</v>
      </c>
      <c r="K64">
        <v>1</v>
      </c>
      <c r="L64">
        <v>1</v>
      </c>
      <c r="M64">
        <v>1</v>
      </c>
      <c r="N64">
        <v>0</v>
      </c>
      <c r="O64">
        <v>0</v>
      </c>
      <c r="P64">
        <v>1</v>
      </c>
      <c r="Q64">
        <v>0</v>
      </c>
      <c r="R64">
        <f t="shared" si="0"/>
        <v>1.0297600659046442E-5</v>
      </c>
      <c r="S64" t="s">
        <v>21</v>
      </c>
      <c r="T64">
        <v>47</v>
      </c>
      <c r="U64" t="str">
        <f t="shared" si="1"/>
        <v>Deyna Castellanos:1</v>
      </c>
      <c r="AR64">
        <v>11</v>
      </c>
    </row>
    <row r="65" spans="1:44" x14ac:dyDescent="0.2">
      <c r="A65" t="s">
        <v>79</v>
      </c>
      <c r="B65" t="s">
        <v>632</v>
      </c>
      <c r="C65" t="s">
        <v>633</v>
      </c>
      <c r="D65" t="s">
        <v>50</v>
      </c>
      <c r="E65" t="s">
        <v>35</v>
      </c>
      <c r="F65">
        <v>33</v>
      </c>
      <c r="G65">
        <v>1988</v>
      </c>
      <c r="H65">
        <v>11</v>
      </c>
      <c r="I65">
        <v>9</v>
      </c>
      <c r="J65">
        <v>758</v>
      </c>
      <c r="K65">
        <v>0</v>
      </c>
      <c r="L65">
        <v>0</v>
      </c>
      <c r="M65">
        <v>0</v>
      </c>
      <c r="N65">
        <v>0</v>
      </c>
      <c r="O65">
        <v>0</v>
      </c>
      <c r="P65">
        <v>2</v>
      </c>
      <c r="Q65">
        <v>0</v>
      </c>
      <c r="R65">
        <f t="shared" si="0"/>
        <v>0</v>
      </c>
      <c r="S65" t="s">
        <v>21</v>
      </c>
      <c r="T65">
        <v>11</v>
      </c>
      <c r="U65" t="str">
        <f t="shared" si="1"/>
        <v>Diane Caldwell:0</v>
      </c>
      <c r="AR65">
        <v>16</v>
      </c>
    </row>
    <row r="66" spans="1:44" x14ac:dyDescent="0.2">
      <c r="A66" t="s">
        <v>285</v>
      </c>
      <c r="B66" t="s">
        <v>650</v>
      </c>
      <c r="C66" t="s">
        <v>651</v>
      </c>
      <c r="D66" t="s">
        <v>23</v>
      </c>
      <c r="E66" t="s">
        <v>30</v>
      </c>
      <c r="F66">
        <v>29</v>
      </c>
      <c r="G66">
        <v>1992</v>
      </c>
      <c r="H66">
        <v>22</v>
      </c>
      <c r="I66">
        <v>21</v>
      </c>
      <c r="J66">
        <v>1769</v>
      </c>
      <c r="K66">
        <v>3</v>
      </c>
      <c r="L66">
        <v>2</v>
      </c>
      <c r="M66">
        <v>3</v>
      </c>
      <c r="N66">
        <v>0</v>
      </c>
      <c r="O66">
        <v>0</v>
      </c>
      <c r="P66">
        <v>5</v>
      </c>
      <c r="Q66">
        <v>0</v>
      </c>
      <c r="R66">
        <f t="shared" si="0"/>
        <v>1.884303749764462E-5</v>
      </c>
      <c r="S66" t="s">
        <v>21</v>
      </c>
      <c r="T66">
        <v>18</v>
      </c>
      <c r="U66" t="str">
        <f t="shared" si="1"/>
        <v>Drew Spence:2</v>
      </c>
      <c r="AR66">
        <v>16</v>
      </c>
    </row>
    <row r="67" spans="1:44" x14ac:dyDescent="0.2">
      <c r="A67" t="s">
        <v>99</v>
      </c>
      <c r="B67" t="s">
        <v>652</v>
      </c>
      <c r="C67" t="s">
        <v>653</v>
      </c>
      <c r="D67" t="s">
        <v>40</v>
      </c>
      <c r="E67" t="s">
        <v>65</v>
      </c>
      <c r="F67">
        <v>23</v>
      </c>
      <c r="G67">
        <v>1999</v>
      </c>
      <c r="H67">
        <v>2</v>
      </c>
      <c r="I67">
        <v>2</v>
      </c>
      <c r="J67">
        <v>180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f t="shared" ref="R67:R130" si="2">K67/J67/90</f>
        <v>0</v>
      </c>
      <c r="S67" t="s">
        <v>21</v>
      </c>
      <c r="T67">
        <v>23</v>
      </c>
      <c r="U67" t="str">
        <f t="shared" ref="U67:U130" si="3">CONCATENATE(A67, ":", L67)</f>
        <v>Eartha Cumings:0</v>
      </c>
      <c r="AR67">
        <v>47</v>
      </c>
    </row>
    <row r="68" spans="1:44" x14ac:dyDescent="0.2">
      <c r="A68" t="s">
        <v>211</v>
      </c>
      <c r="B68" t="s">
        <v>654</v>
      </c>
      <c r="C68" t="s">
        <v>655</v>
      </c>
      <c r="D68" t="s">
        <v>29</v>
      </c>
      <c r="E68" t="s">
        <v>35</v>
      </c>
      <c r="F68">
        <v>25</v>
      </c>
      <c r="G68">
        <v>1997</v>
      </c>
      <c r="H68">
        <v>8</v>
      </c>
      <c r="I68">
        <v>8</v>
      </c>
      <c r="J68">
        <v>635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f t="shared" si="2"/>
        <v>0</v>
      </c>
      <c r="S68" t="s">
        <v>21</v>
      </c>
      <c r="T68">
        <v>11</v>
      </c>
      <c r="U68" t="str">
        <f t="shared" si="3"/>
        <v>Easther Mayi Kith:0</v>
      </c>
      <c r="AR68">
        <v>16</v>
      </c>
    </row>
    <row r="69" spans="1:44" x14ac:dyDescent="0.2">
      <c r="A69" t="s">
        <v>300</v>
      </c>
      <c r="B69" t="s">
        <v>618</v>
      </c>
      <c r="C69" t="s">
        <v>619</v>
      </c>
      <c r="D69" t="s">
        <v>42</v>
      </c>
      <c r="E69" t="s">
        <v>48</v>
      </c>
      <c r="F69">
        <v>21</v>
      </c>
      <c r="G69">
        <v>2001</v>
      </c>
      <c r="H69">
        <v>17</v>
      </c>
      <c r="I69">
        <v>16</v>
      </c>
      <c r="J69">
        <v>1371</v>
      </c>
      <c r="K69">
        <v>7</v>
      </c>
      <c r="L69">
        <v>0</v>
      </c>
      <c r="M69">
        <v>7</v>
      </c>
      <c r="N69">
        <v>0</v>
      </c>
      <c r="O69">
        <v>0</v>
      </c>
      <c r="P69">
        <v>3</v>
      </c>
      <c r="Q69">
        <v>0</v>
      </c>
      <c r="R69">
        <f t="shared" si="2"/>
        <v>5.6730691303995467E-5</v>
      </c>
      <c r="S69" t="s">
        <v>21</v>
      </c>
      <c r="T69">
        <v>16</v>
      </c>
      <c r="U69" t="str">
        <f t="shared" si="3"/>
        <v>Elisabeth Terland:0</v>
      </c>
      <c r="AR69">
        <v>47</v>
      </c>
    </row>
    <row r="70" spans="1:44" x14ac:dyDescent="0.2">
      <c r="A70" t="s">
        <v>289</v>
      </c>
      <c r="B70" t="s">
        <v>618</v>
      </c>
      <c r="C70" t="s">
        <v>619</v>
      </c>
      <c r="D70" t="s">
        <v>19</v>
      </c>
      <c r="E70" t="s">
        <v>55</v>
      </c>
      <c r="F70">
        <v>22</v>
      </c>
      <c r="G70">
        <v>1999</v>
      </c>
      <c r="H70">
        <v>20</v>
      </c>
      <c r="I70">
        <v>7</v>
      </c>
      <c r="J70">
        <v>688</v>
      </c>
      <c r="K70">
        <v>0</v>
      </c>
      <c r="L70">
        <v>2</v>
      </c>
      <c r="M70">
        <v>0</v>
      </c>
      <c r="N70">
        <v>0</v>
      </c>
      <c r="O70">
        <v>0</v>
      </c>
      <c r="P70">
        <v>0</v>
      </c>
      <c r="Q70">
        <v>0</v>
      </c>
      <c r="R70">
        <f t="shared" si="2"/>
        <v>0</v>
      </c>
      <c r="S70" t="s">
        <v>21</v>
      </c>
      <c r="T70">
        <v>30</v>
      </c>
      <c r="U70" t="str">
        <f t="shared" si="3"/>
        <v>Elise Stenevik:2</v>
      </c>
      <c r="AR70">
        <v>11</v>
      </c>
    </row>
    <row r="71" spans="1:44" x14ac:dyDescent="0.2">
      <c r="A71" t="s">
        <v>305</v>
      </c>
      <c r="B71" t="s">
        <v>606</v>
      </c>
      <c r="C71" t="s">
        <v>607</v>
      </c>
      <c r="D71" t="s">
        <v>34</v>
      </c>
      <c r="E71" t="s">
        <v>52</v>
      </c>
      <c r="F71">
        <v>22</v>
      </c>
      <c r="G71">
        <v>1999</v>
      </c>
      <c r="H71">
        <v>22</v>
      </c>
      <c r="I71">
        <v>22</v>
      </c>
      <c r="J71">
        <v>1776</v>
      </c>
      <c r="K71">
        <v>3</v>
      </c>
      <c r="L71">
        <v>8</v>
      </c>
      <c r="M71">
        <v>3</v>
      </c>
      <c r="N71">
        <v>0</v>
      </c>
      <c r="O71">
        <v>0</v>
      </c>
      <c r="P71">
        <v>2</v>
      </c>
      <c r="Q71">
        <v>1</v>
      </c>
      <c r="R71">
        <f t="shared" si="2"/>
        <v>1.8768768768768771E-5</v>
      </c>
      <c r="S71" t="s">
        <v>21</v>
      </c>
      <c r="T71">
        <v>56</v>
      </c>
      <c r="U71" t="str">
        <f t="shared" si="3"/>
        <v>Ella Toone:8</v>
      </c>
      <c r="AR71">
        <v>18</v>
      </c>
    </row>
    <row r="72" spans="1:44" x14ac:dyDescent="0.2">
      <c r="A72" t="s">
        <v>69</v>
      </c>
      <c r="B72" t="s">
        <v>606</v>
      </c>
      <c r="C72" t="s">
        <v>607</v>
      </c>
      <c r="D72" t="s">
        <v>26</v>
      </c>
      <c r="E72" t="s">
        <v>30</v>
      </c>
      <c r="F72">
        <v>23</v>
      </c>
      <c r="G72">
        <v>1999</v>
      </c>
      <c r="H72">
        <v>3</v>
      </c>
      <c r="I72">
        <v>1</v>
      </c>
      <c r="J72">
        <v>94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f t="shared" si="2"/>
        <v>0</v>
      </c>
      <c r="S72" t="s">
        <v>21</v>
      </c>
      <c r="T72">
        <v>18</v>
      </c>
      <c r="U72" t="str">
        <f t="shared" si="3"/>
        <v>Ellie Brazil:0</v>
      </c>
      <c r="AR72">
        <v>23</v>
      </c>
    </row>
    <row r="73" spans="1:44" x14ac:dyDescent="0.2">
      <c r="A73" t="s">
        <v>264</v>
      </c>
      <c r="B73" t="s">
        <v>606</v>
      </c>
      <c r="C73" t="s">
        <v>607</v>
      </c>
      <c r="D73" t="s">
        <v>40</v>
      </c>
      <c r="E73" t="s">
        <v>32</v>
      </c>
      <c r="F73">
        <v>22</v>
      </c>
      <c r="G73">
        <v>1999</v>
      </c>
      <c r="H73">
        <v>17</v>
      </c>
      <c r="I73">
        <v>17</v>
      </c>
      <c r="J73">
        <v>1481</v>
      </c>
      <c r="K73">
        <v>0</v>
      </c>
      <c r="L73">
        <v>0</v>
      </c>
      <c r="M73">
        <v>0</v>
      </c>
      <c r="N73">
        <v>0</v>
      </c>
      <c r="O73">
        <v>0</v>
      </c>
      <c r="P73">
        <v>1</v>
      </c>
      <c r="Q73">
        <v>1</v>
      </c>
      <c r="R73">
        <f t="shared" si="2"/>
        <v>0</v>
      </c>
      <c r="S73" t="s">
        <v>21</v>
      </c>
      <c r="T73">
        <v>47</v>
      </c>
      <c r="U73" t="str">
        <f t="shared" si="3"/>
        <v>Ellie Roebuck:0</v>
      </c>
      <c r="AR73">
        <v>11</v>
      </c>
    </row>
    <row r="74" spans="1:44" x14ac:dyDescent="0.2">
      <c r="A74" t="s">
        <v>133</v>
      </c>
      <c r="B74" t="s">
        <v>612</v>
      </c>
      <c r="C74" t="s">
        <v>613</v>
      </c>
      <c r="D74" t="s">
        <v>42</v>
      </c>
      <c r="E74" t="s">
        <v>37</v>
      </c>
      <c r="F74">
        <v>30</v>
      </c>
      <c r="G74">
        <v>1992</v>
      </c>
      <c r="H74">
        <v>9</v>
      </c>
      <c r="I74">
        <v>0</v>
      </c>
      <c r="J74">
        <v>176</v>
      </c>
      <c r="K74">
        <v>1</v>
      </c>
      <c r="L74">
        <v>0</v>
      </c>
      <c r="M74">
        <v>1</v>
      </c>
      <c r="N74">
        <v>0</v>
      </c>
      <c r="O74">
        <v>0</v>
      </c>
      <c r="P74">
        <v>0</v>
      </c>
      <c r="Q74">
        <v>0</v>
      </c>
      <c r="R74">
        <f t="shared" si="2"/>
        <v>6.3131313131313131E-5</v>
      </c>
      <c r="S74" t="s">
        <v>21</v>
      </c>
      <c r="T74">
        <v>37</v>
      </c>
      <c r="U74" t="str">
        <f t="shared" si="3"/>
        <v>Emily Gielnik:0</v>
      </c>
      <c r="AR74">
        <v>16</v>
      </c>
    </row>
    <row r="75" spans="1:44" x14ac:dyDescent="0.2">
      <c r="A75" t="s">
        <v>255</v>
      </c>
      <c r="B75" t="s">
        <v>606</v>
      </c>
      <c r="C75" t="s">
        <v>607</v>
      </c>
      <c r="D75" t="s">
        <v>40</v>
      </c>
      <c r="E75" t="s">
        <v>55</v>
      </c>
      <c r="F75">
        <v>21</v>
      </c>
      <c r="G75">
        <v>2000</v>
      </c>
      <c r="H75">
        <v>8</v>
      </c>
      <c r="I75">
        <v>8</v>
      </c>
      <c r="J75">
        <v>720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f t="shared" si="2"/>
        <v>0</v>
      </c>
      <c r="S75" t="s">
        <v>21</v>
      </c>
      <c r="T75">
        <v>30</v>
      </c>
      <c r="U75" t="str">
        <f t="shared" si="3"/>
        <v>Emily Ramsey:0</v>
      </c>
      <c r="AR75">
        <v>30</v>
      </c>
    </row>
    <row r="76" spans="1:44" x14ac:dyDescent="0.2">
      <c r="A76" t="s">
        <v>150</v>
      </c>
      <c r="B76" t="s">
        <v>606</v>
      </c>
      <c r="C76" t="s">
        <v>607</v>
      </c>
      <c r="D76" t="s">
        <v>42</v>
      </c>
      <c r="E76" t="s">
        <v>35</v>
      </c>
      <c r="F76">
        <v>20</v>
      </c>
      <c r="G76">
        <v>2002</v>
      </c>
      <c r="H76">
        <v>16</v>
      </c>
      <c r="I76">
        <v>13</v>
      </c>
      <c r="J76">
        <v>1110</v>
      </c>
      <c r="K76">
        <v>2</v>
      </c>
      <c r="L76">
        <v>1</v>
      </c>
      <c r="M76">
        <v>2</v>
      </c>
      <c r="N76">
        <v>0</v>
      </c>
      <c r="O76">
        <v>0</v>
      </c>
      <c r="P76">
        <v>1</v>
      </c>
      <c r="Q76">
        <v>0</v>
      </c>
      <c r="R76">
        <f t="shared" si="2"/>
        <v>2.002002002002002E-5</v>
      </c>
      <c r="S76" t="s">
        <v>21</v>
      </c>
      <c r="T76">
        <v>11</v>
      </c>
      <c r="U76" t="str">
        <f t="shared" si="3"/>
        <v>Emma Harries:1</v>
      </c>
      <c r="AR76">
        <v>56</v>
      </c>
    </row>
    <row r="77" spans="1:44" x14ac:dyDescent="0.2">
      <c r="A77" t="s">
        <v>183</v>
      </c>
      <c r="B77" t="s">
        <v>656</v>
      </c>
      <c r="C77" t="s">
        <v>657</v>
      </c>
      <c r="D77" t="s">
        <v>29</v>
      </c>
      <c r="E77" t="s">
        <v>65</v>
      </c>
      <c r="F77">
        <v>27</v>
      </c>
      <c r="G77">
        <v>1994</v>
      </c>
      <c r="H77">
        <v>21</v>
      </c>
      <c r="I77">
        <v>21</v>
      </c>
      <c r="J77">
        <v>1746</v>
      </c>
      <c r="K77">
        <v>2</v>
      </c>
      <c r="L77">
        <v>4</v>
      </c>
      <c r="M77">
        <v>2</v>
      </c>
      <c r="N77">
        <v>0</v>
      </c>
      <c r="O77">
        <v>0</v>
      </c>
      <c r="P77">
        <v>2</v>
      </c>
      <c r="Q77">
        <v>0</v>
      </c>
      <c r="R77">
        <f t="shared" si="2"/>
        <v>1.2727504136438845E-5</v>
      </c>
      <c r="S77" t="s">
        <v>21</v>
      </c>
      <c r="T77">
        <v>23</v>
      </c>
      <c r="U77" t="str">
        <f t="shared" si="3"/>
        <v>Emma Koivisto:4</v>
      </c>
      <c r="AR77">
        <v>18</v>
      </c>
    </row>
    <row r="78" spans="1:44" x14ac:dyDescent="0.2">
      <c r="A78" t="s">
        <v>186</v>
      </c>
      <c r="B78" t="s">
        <v>658</v>
      </c>
      <c r="C78" t="s">
        <v>659</v>
      </c>
      <c r="D78" t="s">
        <v>50</v>
      </c>
      <c r="E78" t="s">
        <v>48</v>
      </c>
      <c r="F78">
        <v>30</v>
      </c>
      <c r="G78">
        <v>1991</v>
      </c>
      <c r="H78">
        <v>19</v>
      </c>
      <c r="I78">
        <v>18</v>
      </c>
      <c r="J78">
        <v>1536</v>
      </c>
      <c r="K78">
        <v>0</v>
      </c>
      <c r="L78">
        <v>0</v>
      </c>
      <c r="M78">
        <v>0</v>
      </c>
      <c r="N78">
        <v>0</v>
      </c>
      <c r="O78">
        <v>0</v>
      </c>
      <c r="P78">
        <v>2</v>
      </c>
      <c r="Q78">
        <v>1</v>
      </c>
      <c r="R78">
        <f t="shared" si="2"/>
        <v>0</v>
      </c>
      <c r="S78" t="s">
        <v>21</v>
      </c>
      <c r="T78">
        <v>16</v>
      </c>
      <c r="U78" t="str">
        <f t="shared" si="3"/>
        <v>Emma Kullberg:0</v>
      </c>
      <c r="AR78">
        <v>18</v>
      </c>
    </row>
    <row r="79" spans="1:44" x14ac:dyDescent="0.2">
      <c r="A79" t="s">
        <v>218</v>
      </c>
      <c r="B79" t="s">
        <v>652</v>
      </c>
      <c r="C79" t="s">
        <v>653</v>
      </c>
      <c r="D79" t="s">
        <v>50</v>
      </c>
      <c r="E79" t="s">
        <v>35</v>
      </c>
      <c r="F79">
        <v>29</v>
      </c>
      <c r="G79">
        <v>1992</v>
      </c>
      <c r="H79">
        <v>21</v>
      </c>
      <c r="I79">
        <v>20</v>
      </c>
      <c r="J79">
        <v>1780</v>
      </c>
      <c r="K79">
        <v>0</v>
      </c>
      <c r="L79">
        <v>2</v>
      </c>
      <c r="M79">
        <v>0</v>
      </c>
      <c r="N79">
        <v>0</v>
      </c>
      <c r="O79">
        <v>0</v>
      </c>
      <c r="P79">
        <v>0</v>
      </c>
      <c r="Q79">
        <v>0</v>
      </c>
      <c r="R79">
        <f t="shared" si="2"/>
        <v>0</v>
      </c>
      <c r="S79" t="s">
        <v>21</v>
      </c>
      <c r="T79">
        <v>11</v>
      </c>
      <c r="U79" t="str">
        <f t="shared" si="3"/>
        <v>Emma Mitchell:2</v>
      </c>
      <c r="AR79">
        <v>47</v>
      </c>
    </row>
    <row r="80" spans="1:44" x14ac:dyDescent="0.2">
      <c r="A80" t="s">
        <v>282</v>
      </c>
      <c r="B80" t="s">
        <v>620</v>
      </c>
      <c r="C80" t="s">
        <v>621</v>
      </c>
      <c r="D80" t="s">
        <v>23</v>
      </c>
      <c r="E80" t="s">
        <v>24</v>
      </c>
      <c r="F80">
        <v>21</v>
      </c>
      <c r="G80">
        <v>2001</v>
      </c>
      <c r="H80">
        <v>12</v>
      </c>
      <c r="I80">
        <v>8</v>
      </c>
      <c r="J80">
        <v>764</v>
      </c>
      <c r="K80">
        <v>2</v>
      </c>
      <c r="L80">
        <v>0</v>
      </c>
      <c r="M80">
        <v>2</v>
      </c>
      <c r="N80">
        <v>0</v>
      </c>
      <c r="O80">
        <v>0</v>
      </c>
      <c r="P80">
        <v>1</v>
      </c>
      <c r="Q80">
        <v>0</v>
      </c>
      <c r="R80">
        <f t="shared" si="2"/>
        <v>2.9086678301337989E-5</v>
      </c>
      <c r="S80" t="s">
        <v>21</v>
      </c>
      <c r="T80">
        <v>21</v>
      </c>
      <c r="U80" t="str">
        <f t="shared" si="3"/>
        <v>Emma Snerle:0</v>
      </c>
      <c r="AR80">
        <v>37</v>
      </c>
    </row>
    <row r="81" spans="1:44" x14ac:dyDescent="0.2">
      <c r="A81" t="s">
        <v>100</v>
      </c>
      <c r="B81" t="s">
        <v>652</v>
      </c>
      <c r="C81" t="s">
        <v>653</v>
      </c>
      <c r="D81" t="s">
        <v>34</v>
      </c>
      <c r="E81" t="s">
        <v>20</v>
      </c>
      <c r="F81">
        <v>24</v>
      </c>
      <c r="G81">
        <v>1998</v>
      </c>
      <c r="H81">
        <v>18</v>
      </c>
      <c r="I81">
        <v>16</v>
      </c>
      <c r="J81">
        <v>1369</v>
      </c>
      <c r="K81">
        <v>5</v>
      </c>
      <c r="L81">
        <v>3</v>
      </c>
      <c r="M81">
        <v>5</v>
      </c>
      <c r="N81">
        <v>0</v>
      </c>
      <c r="O81">
        <v>0</v>
      </c>
      <c r="P81">
        <v>1</v>
      </c>
      <c r="Q81">
        <v>0</v>
      </c>
      <c r="R81">
        <f t="shared" si="2"/>
        <v>4.0581121662202743E-5</v>
      </c>
      <c r="S81" t="s">
        <v>21</v>
      </c>
      <c r="T81">
        <v>58</v>
      </c>
      <c r="U81" t="str">
        <f t="shared" si="3"/>
        <v>Erin Cuthbert:3</v>
      </c>
      <c r="AR81">
        <v>30</v>
      </c>
    </row>
    <row r="82" spans="1:44" x14ac:dyDescent="0.2">
      <c r="A82" t="s">
        <v>278</v>
      </c>
      <c r="B82" t="s">
        <v>638</v>
      </c>
      <c r="C82" t="s">
        <v>639</v>
      </c>
      <c r="D82" t="s">
        <v>50</v>
      </c>
      <c r="E82" t="s">
        <v>46</v>
      </c>
      <c r="F82">
        <v>27</v>
      </c>
      <c r="G82">
        <v>1994</v>
      </c>
      <c r="H82">
        <v>11</v>
      </c>
      <c r="I82">
        <v>9</v>
      </c>
      <c r="J82">
        <v>713</v>
      </c>
      <c r="K82">
        <v>0</v>
      </c>
      <c r="L82">
        <v>0</v>
      </c>
      <c r="M82">
        <v>0</v>
      </c>
      <c r="N82">
        <v>0</v>
      </c>
      <c r="O82">
        <v>0</v>
      </c>
      <c r="P82">
        <v>1</v>
      </c>
      <c r="Q82">
        <v>0</v>
      </c>
      <c r="R82">
        <f t="shared" si="2"/>
        <v>0</v>
      </c>
      <c r="S82" t="s">
        <v>21</v>
      </c>
      <c r="T82">
        <v>16</v>
      </c>
      <c r="U82" t="str">
        <f t="shared" si="3"/>
        <v>Erin Simon:0</v>
      </c>
      <c r="AR82">
        <v>11</v>
      </c>
    </row>
    <row r="83" spans="1:44" x14ac:dyDescent="0.2">
      <c r="A83" t="s">
        <v>222</v>
      </c>
      <c r="B83" t="s">
        <v>606</v>
      </c>
      <c r="C83" t="s">
        <v>607</v>
      </c>
      <c r="D83" t="s">
        <v>50</v>
      </c>
      <c r="E83" t="s">
        <v>32</v>
      </c>
      <c r="F83">
        <v>21</v>
      </c>
      <c r="G83">
        <v>2000</v>
      </c>
      <c r="H83">
        <v>17</v>
      </c>
      <c r="I83">
        <v>15</v>
      </c>
      <c r="J83">
        <v>1329</v>
      </c>
      <c r="K83">
        <v>0</v>
      </c>
      <c r="L83">
        <v>0</v>
      </c>
      <c r="M83">
        <v>0</v>
      </c>
      <c r="N83">
        <v>0</v>
      </c>
      <c r="O83">
        <v>0</v>
      </c>
      <c r="P83">
        <v>1</v>
      </c>
      <c r="Q83">
        <v>0</v>
      </c>
      <c r="R83">
        <f t="shared" si="2"/>
        <v>0</v>
      </c>
      <c r="S83" t="s">
        <v>21</v>
      </c>
      <c r="T83">
        <v>47</v>
      </c>
      <c r="U83" t="str">
        <f t="shared" si="3"/>
        <v>Esme Morgan:0</v>
      </c>
      <c r="AR83">
        <v>23</v>
      </c>
    </row>
    <row r="84" spans="1:44" x14ac:dyDescent="0.2">
      <c r="A84" t="s">
        <v>84</v>
      </c>
      <c r="B84" t="s">
        <v>610</v>
      </c>
      <c r="C84" t="s">
        <v>611</v>
      </c>
      <c r="D84" t="s">
        <v>34</v>
      </c>
      <c r="E84" t="s">
        <v>52</v>
      </c>
      <c r="F84">
        <v>25</v>
      </c>
      <c r="G84">
        <v>1997</v>
      </c>
      <c r="H84">
        <v>1</v>
      </c>
      <c r="I84">
        <v>0</v>
      </c>
      <c r="J84">
        <v>20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f t="shared" si="2"/>
        <v>0</v>
      </c>
      <c r="S84" t="s">
        <v>21</v>
      </c>
      <c r="T84">
        <v>56</v>
      </c>
      <c r="U84" t="str">
        <f t="shared" si="3"/>
        <v>Estelle Cascarino:0</v>
      </c>
      <c r="AR84">
        <v>16</v>
      </c>
    </row>
    <row r="85" spans="1:44" x14ac:dyDescent="0.2">
      <c r="A85" t="s">
        <v>245</v>
      </c>
      <c r="B85" t="s">
        <v>610</v>
      </c>
      <c r="C85" t="s">
        <v>611</v>
      </c>
      <c r="D85" t="s">
        <v>29</v>
      </c>
      <c r="E85" t="s">
        <v>20</v>
      </c>
      <c r="F85">
        <v>27</v>
      </c>
      <c r="G85">
        <v>1994</v>
      </c>
      <c r="H85">
        <v>18</v>
      </c>
      <c r="I85">
        <v>13</v>
      </c>
      <c r="J85">
        <v>1166</v>
      </c>
      <c r="K85">
        <v>0</v>
      </c>
      <c r="L85">
        <v>3</v>
      </c>
      <c r="M85">
        <v>0</v>
      </c>
      <c r="N85">
        <v>0</v>
      </c>
      <c r="O85">
        <v>0</v>
      </c>
      <c r="P85">
        <v>0</v>
      </c>
      <c r="Q85">
        <v>0</v>
      </c>
      <c r="R85">
        <f t="shared" si="2"/>
        <v>0</v>
      </c>
      <c r="S85" t="s">
        <v>21</v>
      </c>
      <c r="T85">
        <v>58</v>
      </c>
      <c r="U85" t="str">
        <f t="shared" si="3"/>
        <v>Ève Périsset:3</v>
      </c>
      <c r="AR85">
        <v>11</v>
      </c>
    </row>
    <row r="86" spans="1:44" x14ac:dyDescent="0.2">
      <c r="A86" t="s">
        <v>294</v>
      </c>
      <c r="B86" t="s">
        <v>656</v>
      </c>
      <c r="C86" t="s">
        <v>657</v>
      </c>
      <c r="D86" t="s">
        <v>23</v>
      </c>
      <c r="E86" t="s">
        <v>30</v>
      </c>
      <c r="F86">
        <v>24</v>
      </c>
      <c r="G86">
        <v>1998</v>
      </c>
      <c r="H86">
        <v>20</v>
      </c>
      <c r="I86">
        <v>17</v>
      </c>
      <c r="J86">
        <v>1507</v>
      </c>
      <c r="K86">
        <v>3</v>
      </c>
      <c r="L86">
        <v>3</v>
      </c>
      <c r="M86">
        <v>3</v>
      </c>
      <c r="N86">
        <v>0</v>
      </c>
      <c r="O86">
        <v>0</v>
      </c>
      <c r="P86">
        <v>5</v>
      </c>
      <c r="Q86">
        <v>0</v>
      </c>
      <c r="R86">
        <f t="shared" si="2"/>
        <v>2.2119000221190006E-5</v>
      </c>
      <c r="S86" t="s">
        <v>21</v>
      </c>
      <c r="T86">
        <v>18</v>
      </c>
      <c r="U86" t="str">
        <f t="shared" si="3"/>
        <v>Eveliina Summanen:3</v>
      </c>
      <c r="AR86">
        <v>21</v>
      </c>
    </row>
    <row r="87" spans="1:44" x14ac:dyDescent="0.2">
      <c r="A87" t="s">
        <v>253</v>
      </c>
      <c r="B87" t="s">
        <v>606</v>
      </c>
      <c r="C87" t="s">
        <v>607</v>
      </c>
      <c r="D87" t="s">
        <v>50</v>
      </c>
      <c r="E87" t="s">
        <v>37</v>
      </c>
      <c r="F87">
        <v>17</v>
      </c>
      <c r="G87">
        <v>2005</v>
      </c>
      <c r="H87">
        <v>3</v>
      </c>
      <c r="I87">
        <v>1</v>
      </c>
      <c r="J87">
        <v>92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f t="shared" si="2"/>
        <v>0</v>
      </c>
      <c r="S87" t="s">
        <v>21</v>
      </c>
      <c r="T87">
        <v>37</v>
      </c>
      <c r="U87" t="str">
        <f t="shared" si="3"/>
        <v>Evie Rabjohn:0</v>
      </c>
      <c r="AR87">
        <v>58</v>
      </c>
    </row>
    <row r="88" spans="1:44" x14ac:dyDescent="0.2">
      <c r="A88" t="s">
        <v>74</v>
      </c>
      <c r="B88" t="s">
        <v>606</v>
      </c>
      <c r="C88" t="s">
        <v>607</v>
      </c>
      <c r="D88" t="s">
        <v>29</v>
      </c>
      <c r="E88" t="s">
        <v>35</v>
      </c>
      <c r="F88">
        <v>25</v>
      </c>
      <c r="G88">
        <v>1997</v>
      </c>
      <c r="H88">
        <v>17</v>
      </c>
      <c r="I88">
        <v>10</v>
      </c>
      <c r="J88">
        <v>998</v>
      </c>
      <c r="K88">
        <v>0</v>
      </c>
      <c r="L88">
        <v>1</v>
      </c>
      <c r="M88">
        <v>0</v>
      </c>
      <c r="N88">
        <v>0</v>
      </c>
      <c r="O88">
        <v>0</v>
      </c>
      <c r="P88">
        <v>5</v>
      </c>
      <c r="Q88">
        <v>0</v>
      </c>
      <c r="R88">
        <f t="shared" si="2"/>
        <v>0</v>
      </c>
      <c r="S88" t="s">
        <v>21</v>
      </c>
      <c r="T88">
        <v>11</v>
      </c>
      <c r="U88" t="str">
        <f t="shared" si="3"/>
        <v>Faye Bryson:1</v>
      </c>
      <c r="AR88">
        <v>16</v>
      </c>
    </row>
    <row r="89" spans="1:44" x14ac:dyDescent="0.2">
      <c r="A89" t="s">
        <v>181</v>
      </c>
      <c r="B89" t="s">
        <v>606</v>
      </c>
      <c r="C89" t="s">
        <v>607</v>
      </c>
      <c r="D89" t="s">
        <v>40</v>
      </c>
      <c r="E89" t="s">
        <v>65</v>
      </c>
      <c r="F89">
        <v>22</v>
      </c>
      <c r="G89">
        <v>2000</v>
      </c>
      <c r="H89">
        <v>3</v>
      </c>
      <c r="I89">
        <v>3</v>
      </c>
      <c r="J89">
        <v>270</v>
      </c>
      <c r="K89">
        <v>0</v>
      </c>
      <c r="L89">
        <v>0</v>
      </c>
      <c r="M89">
        <v>0</v>
      </c>
      <c r="N89">
        <v>0</v>
      </c>
      <c r="O89">
        <v>0</v>
      </c>
      <c r="P89">
        <v>1</v>
      </c>
      <c r="Q89">
        <v>0</v>
      </c>
      <c r="R89">
        <f t="shared" si="2"/>
        <v>0</v>
      </c>
      <c r="S89" t="s">
        <v>21</v>
      </c>
      <c r="T89">
        <v>23</v>
      </c>
      <c r="U89" t="str">
        <f t="shared" si="3"/>
        <v>Faye Kirby:0</v>
      </c>
      <c r="AR89">
        <v>47</v>
      </c>
    </row>
    <row r="90" spans="1:44" x14ac:dyDescent="0.2">
      <c r="A90" t="s">
        <v>38</v>
      </c>
      <c r="B90" t="s">
        <v>658</v>
      </c>
      <c r="C90" t="s">
        <v>659</v>
      </c>
      <c r="D90" t="s">
        <v>34</v>
      </c>
      <c r="E90" t="s">
        <v>32</v>
      </c>
      <c r="F90">
        <v>25</v>
      </c>
      <c r="G90">
        <v>1997</v>
      </c>
      <c r="H90">
        <v>16</v>
      </c>
      <c r="I90">
        <v>12</v>
      </c>
      <c r="J90">
        <v>1098</v>
      </c>
      <c r="K90">
        <v>2</v>
      </c>
      <c r="L90">
        <v>1</v>
      </c>
      <c r="M90">
        <v>2</v>
      </c>
      <c r="N90">
        <v>0</v>
      </c>
      <c r="O90">
        <v>0</v>
      </c>
      <c r="P90">
        <v>1</v>
      </c>
      <c r="Q90">
        <v>0</v>
      </c>
      <c r="R90">
        <f t="shared" si="2"/>
        <v>2.0238818053025702E-5</v>
      </c>
      <c r="S90" t="s">
        <v>21</v>
      </c>
      <c r="T90">
        <v>47</v>
      </c>
      <c r="U90" t="str">
        <f t="shared" si="3"/>
        <v>Filippa Angeldahl:1</v>
      </c>
      <c r="AR90">
        <v>56</v>
      </c>
    </row>
    <row r="91" spans="1:44" x14ac:dyDescent="0.2">
      <c r="A91" t="s">
        <v>182</v>
      </c>
      <c r="B91" t="s">
        <v>606</v>
      </c>
      <c r="C91" t="s">
        <v>607</v>
      </c>
      <c r="D91" t="s">
        <v>94</v>
      </c>
      <c r="E91" t="s">
        <v>20</v>
      </c>
      <c r="F91">
        <v>29</v>
      </c>
      <c r="G91">
        <v>1993</v>
      </c>
      <c r="H91">
        <v>8</v>
      </c>
      <c r="I91">
        <v>5</v>
      </c>
      <c r="J91">
        <v>505</v>
      </c>
      <c r="K91">
        <v>6</v>
      </c>
      <c r="L91">
        <v>1</v>
      </c>
      <c r="M91">
        <v>5</v>
      </c>
      <c r="N91">
        <v>1</v>
      </c>
      <c r="O91">
        <v>1</v>
      </c>
      <c r="P91">
        <v>0</v>
      </c>
      <c r="Q91">
        <v>0</v>
      </c>
      <c r="R91">
        <f t="shared" si="2"/>
        <v>1.32013201320132E-4</v>
      </c>
      <c r="S91" t="s">
        <v>21</v>
      </c>
      <c r="T91">
        <v>58</v>
      </c>
      <c r="U91" t="str">
        <f t="shared" si="3"/>
        <v>Fran Kirby:1</v>
      </c>
      <c r="AR91">
        <v>58</v>
      </c>
    </row>
    <row r="92" spans="1:44" x14ac:dyDescent="0.2">
      <c r="A92" t="s">
        <v>135</v>
      </c>
      <c r="B92" t="s">
        <v>606</v>
      </c>
      <c r="C92" t="s">
        <v>607</v>
      </c>
      <c r="D92" t="s">
        <v>42</v>
      </c>
      <c r="E92" t="s">
        <v>27</v>
      </c>
      <c r="F92">
        <v>17</v>
      </c>
      <c r="G92">
        <v>2005</v>
      </c>
      <c r="H92">
        <v>2</v>
      </c>
      <c r="I92">
        <v>0</v>
      </c>
      <c r="J92">
        <v>3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f t="shared" si="2"/>
        <v>0</v>
      </c>
      <c r="S92" t="s">
        <v>21</v>
      </c>
      <c r="T92">
        <v>47</v>
      </c>
      <c r="U92" t="str">
        <f t="shared" si="3"/>
        <v>Freya Godfrey:0</v>
      </c>
      <c r="AR92">
        <v>18</v>
      </c>
    </row>
    <row r="93" spans="1:44" x14ac:dyDescent="0.2">
      <c r="A93" t="s">
        <v>144</v>
      </c>
      <c r="B93" t="s">
        <v>606</v>
      </c>
      <c r="C93" t="s">
        <v>607</v>
      </c>
      <c r="D93" t="s">
        <v>26</v>
      </c>
      <c r="E93" t="s">
        <v>37</v>
      </c>
      <c r="F93">
        <v>19</v>
      </c>
      <c r="G93">
        <v>2003</v>
      </c>
      <c r="H93">
        <v>7</v>
      </c>
      <c r="I93">
        <v>1</v>
      </c>
      <c r="J93">
        <v>183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f t="shared" si="2"/>
        <v>0</v>
      </c>
      <c r="S93" t="s">
        <v>21</v>
      </c>
      <c r="T93">
        <v>37</v>
      </c>
      <c r="U93" t="str">
        <f t="shared" si="3"/>
        <v>Freya Gregory:0</v>
      </c>
      <c r="AR93">
        <v>37</v>
      </c>
    </row>
    <row r="94" spans="1:44" x14ac:dyDescent="0.2">
      <c r="A94" t="s">
        <v>203</v>
      </c>
      <c r="B94" t="s">
        <v>618</v>
      </c>
      <c r="C94" t="s">
        <v>619</v>
      </c>
      <c r="D94" t="s">
        <v>34</v>
      </c>
      <c r="E94" t="s">
        <v>27</v>
      </c>
      <c r="F94">
        <v>23</v>
      </c>
      <c r="G94">
        <v>1999</v>
      </c>
      <c r="H94">
        <v>22</v>
      </c>
      <c r="I94">
        <v>19</v>
      </c>
      <c r="J94">
        <v>1712</v>
      </c>
      <c r="K94">
        <v>9</v>
      </c>
      <c r="L94">
        <v>4</v>
      </c>
      <c r="M94">
        <v>9</v>
      </c>
      <c r="N94">
        <v>0</v>
      </c>
      <c r="O94">
        <v>0</v>
      </c>
      <c r="P94">
        <v>1</v>
      </c>
      <c r="Q94">
        <v>0</v>
      </c>
      <c r="R94">
        <f t="shared" si="2"/>
        <v>5.8411214953271024E-5</v>
      </c>
      <c r="S94" t="s">
        <v>21</v>
      </c>
      <c r="T94">
        <v>47</v>
      </c>
      <c r="U94" t="str">
        <f t="shared" si="3"/>
        <v>Frida Maanum:4</v>
      </c>
      <c r="AR94">
        <v>11</v>
      </c>
    </row>
    <row r="95" spans="1:44" x14ac:dyDescent="0.2">
      <c r="A95" t="s">
        <v>227</v>
      </c>
      <c r="B95" t="s">
        <v>660</v>
      </c>
      <c r="C95" t="s">
        <v>661</v>
      </c>
      <c r="D95" t="s">
        <v>34</v>
      </c>
      <c r="E95" t="s">
        <v>65</v>
      </c>
      <c r="F95">
        <v>23</v>
      </c>
      <c r="G95">
        <v>1999</v>
      </c>
      <c r="H95">
        <v>11</v>
      </c>
      <c r="I95">
        <v>11</v>
      </c>
      <c r="J95">
        <v>990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f t="shared" si="2"/>
        <v>0</v>
      </c>
      <c r="S95" t="s">
        <v>21</v>
      </c>
      <c r="T95">
        <v>23</v>
      </c>
      <c r="U95" t="str">
        <f t="shared" si="3"/>
        <v>Fūka Nagano:0</v>
      </c>
      <c r="AR95">
        <v>23</v>
      </c>
    </row>
    <row r="96" spans="1:44" x14ac:dyDescent="0.2">
      <c r="A96" t="s">
        <v>131</v>
      </c>
      <c r="B96" t="s">
        <v>606</v>
      </c>
      <c r="C96" t="s">
        <v>607</v>
      </c>
      <c r="D96" t="s">
        <v>29</v>
      </c>
      <c r="E96" t="s">
        <v>55</v>
      </c>
      <c r="F96">
        <v>25</v>
      </c>
      <c r="G96">
        <v>1997</v>
      </c>
      <c r="H96">
        <v>16</v>
      </c>
      <c r="I96">
        <v>16</v>
      </c>
      <c r="J96">
        <v>1322</v>
      </c>
      <c r="K96">
        <v>2</v>
      </c>
      <c r="L96">
        <v>2</v>
      </c>
      <c r="M96">
        <v>2</v>
      </c>
      <c r="N96">
        <v>0</v>
      </c>
      <c r="O96">
        <v>0</v>
      </c>
      <c r="P96">
        <v>4</v>
      </c>
      <c r="Q96">
        <v>0</v>
      </c>
      <c r="R96">
        <f t="shared" si="2"/>
        <v>1.6809547823163556E-5</v>
      </c>
      <c r="S96" t="s">
        <v>21</v>
      </c>
      <c r="T96">
        <v>30</v>
      </c>
      <c r="U96" t="str">
        <f t="shared" si="3"/>
        <v>Gabrielle George:2</v>
      </c>
      <c r="AR96">
        <v>47</v>
      </c>
    </row>
    <row r="97" spans="1:44" x14ac:dyDescent="0.2">
      <c r="A97" t="s">
        <v>66</v>
      </c>
      <c r="B97" t="s">
        <v>606</v>
      </c>
      <c r="C97" t="s">
        <v>607</v>
      </c>
      <c r="D97" t="s">
        <v>50</v>
      </c>
      <c r="E97" t="s">
        <v>65</v>
      </c>
      <c r="F97">
        <v>31</v>
      </c>
      <c r="G97">
        <v>1991</v>
      </c>
      <c r="H97">
        <v>12</v>
      </c>
      <c r="I97">
        <v>10</v>
      </c>
      <c r="J97">
        <v>976</v>
      </c>
      <c r="K97">
        <v>0</v>
      </c>
      <c r="L97">
        <v>1</v>
      </c>
      <c r="M97">
        <v>0</v>
      </c>
      <c r="N97">
        <v>0</v>
      </c>
      <c r="O97">
        <v>0</v>
      </c>
      <c r="P97">
        <v>1</v>
      </c>
      <c r="Q97">
        <v>0</v>
      </c>
      <c r="R97">
        <f t="shared" si="2"/>
        <v>0</v>
      </c>
      <c r="S97" t="s">
        <v>21</v>
      </c>
      <c r="T97">
        <v>23</v>
      </c>
      <c r="U97" t="str">
        <f t="shared" si="3"/>
        <v>Gemma Bonner:1</v>
      </c>
      <c r="AR97">
        <v>58</v>
      </c>
    </row>
    <row r="98" spans="1:44" x14ac:dyDescent="0.2">
      <c r="A98" t="s">
        <v>113</v>
      </c>
      <c r="B98" t="s">
        <v>624</v>
      </c>
      <c r="C98" t="s">
        <v>625</v>
      </c>
      <c r="D98" t="s">
        <v>50</v>
      </c>
      <c r="E98" t="s">
        <v>35</v>
      </c>
      <c r="F98">
        <v>25</v>
      </c>
      <c r="G98">
        <v>1996</v>
      </c>
      <c r="H98">
        <v>19</v>
      </c>
      <c r="I98">
        <v>17</v>
      </c>
      <c r="J98">
        <v>1510</v>
      </c>
      <c r="K98">
        <v>0</v>
      </c>
      <c r="L98">
        <v>1</v>
      </c>
      <c r="M98">
        <v>0</v>
      </c>
      <c r="N98">
        <v>0</v>
      </c>
      <c r="O98">
        <v>0</v>
      </c>
      <c r="P98">
        <v>1</v>
      </c>
      <c r="Q98">
        <v>0</v>
      </c>
      <c r="R98">
        <f t="shared" si="2"/>
        <v>0</v>
      </c>
      <c r="S98" t="s">
        <v>21</v>
      </c>
      <c r="T98">
        <v>11</v>
      </c>
      <c r="U98" t="str">
        <f t="shared" si="3"/>
        <v>Gemma Evans:1</v>
      </c>
      <c r="AR98">
        <v>47</v>
      </c>
    </row>
    <row r="99" spans="1:44" x14ac:dyDescent="0.2">
      <c r="A99" t="s">
        <v>72</v>
      </c>
      <c r="B99" t="s">
        <v>606</v>
      </c>
      <c r="C99" t="s">
        <v>607</v>
      </c>
      <c r="D99" t="s">
        <v>50</v>
      </c>
      <c r="E99" t="s">
        <v>46</v>
      </c>
      <c r="F99">
        <v>26</v>
      </c>
      <c r="G99">
        <v>1996</v>
      </c>
      <c r="H99">
        <v>1</v>
      </c>
      <c r="I99">
        <v>1</v>
      </c>
      <c r="J99">
        <v>90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f t="shared" si="2"/>
        <v>0</v>
      </c>
      <c r="S99" t="s">
        <v>21</v>
      </c>
      <c r="T99">
        <v>16</v>
      </c>
      <c r="U99" t="str">
        <f t="shared" si="3"/>
        <v>Georgia Brougham:0</v>
      </c>
      <c r="AR99">
        <v>37</v>
      </c>
    </row>
    <row r="100" spans="1:44" x14ac:dyDescent="0.2">
      <c r="A100" t="s">
        <v>109</v>
      </c>
      <c r="B100" t="s">
        <v>606</v>
      </c>
      <c r="C100" t="s">
        <v>607</v>
      </c>
      <c r="D100" t="s">
        <v>29</v>
      </c>
      <c r="E100" t="s">
        <v>46</v>
      </c>
      <c r="F100">
        <v>22</v>
      </c>
      <c r="G100">
        <v>2000</v>
      </c>
      <c r="H100">
        <v>5</v>
      </c>
      <c r="I100">
        <v>3</v>
      </c>
      <c r="J100">
        <v>272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f t="shared" si="2"/>
        <v>0</v>
      </c>
      <c r="S100" t="s">
        <v>21</v>
      </c>
      <c r="T100">
        <v>16</v>
      </c>
      <c r="U100" t="str">
        <f t="shared" si="3"/>
        <v>Georgia Eaton-Collins:0</v>
      </c>
      <c r="AR100">
        <v>47</v>
      </c>
    </row>
    <row r="101" spans="1:44" x14ac:dyDescent="0.2">
      <c r="A101" t="s">
        <v>224</v>
      </c>
      <c r="D101" t="s">
        <v>34</v>
      </c>
      <c r="E101" t="s">
        <v>37</v>
      </c>
      <c r="H101">
        <v>2</v>
      </c>
      <c r="I101">
        <v>0</v>
      </c>
      <c r="J101">
        <v>7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f t="shared" si="2"/>
        <v>0</v>
      </c>
      <c r="S101" t="s">
        <v>21</v>
      </c>
      <c r="T101">
        <v>37</v>
      </c>
      <c r="U101" t="str">
        <f t="shared" si="3"/>
        <v>Georgia Mullett:0</v>
      </c>
      <c r="AR101">
        <v>23</v>
      </c>
    </row>
    <row r="102" spans="1:44" x14ac:dyDescent="0.2">
      <c r="A102" t="s">
        <v>120</v>
      </c>
      <c r="B102" t="s">
        <v>606</v>
      </c>
      <c r="C102" t="s">
        <v>607</v>
      </c>
      <c r="D102" t="s">
        <v>50</v>
      </c>
      <c r="E102" t="s">
        <v>65</v>
      </c>
      <c r="F102">
        <v>30</v>
      </c>
      <c r="G102">
        <v>1991</v>
      </c>
      <c r="H102">
        <v>8</v>
      </c>
      <c r="I102">
        <v>8</v>
      </c>
      <c r="J102">
        <v>720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2</v>
      </c>
      <c r="Q102">
        <v>0</v>
      </c>
      <c r="R102">
        <f t="shared" si="2"/>
        <v>0</v>
      </c>
      <c r="S102" t="s">
        <v>21</v>
      </c>
      <c r="T102">
        <v>23</v>
      </c>
      <c r="U102" t="str">
        <f t="shared" si="3"/>
        <v>Gilly Flaherty:0</v>
      </c>
      <c r="AR102">
        <v>30</v>
      </c>
    </row>
    <row r="103" spans="1:44" x14ac:dyDescent="0.2">
      <c r="A103" t="s">
        <v>134</v>
      </c>
      <c r="B103" t="s">
        <v>662</v>
      </c>
      <c r="C103" t="s">
        <v>663</v>
      </c>
      <c r="D103" t="s">
        <v>42</v>
      </c>
      <c r="E103" t="s">
        <v>27</v>
      </c>
      <c r="F103">
        <v>19</v>
      </c>
      <c r="G103">
        <v>2003</v>
      </c>
      <c r="H103">
        <v>11</v>
      </c>
      <c r="I103">
        <v>0</v>
      </c>
      <c r="J103">
        <v>204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2</v>
      </c>
      <c r="Q103">
        <v>0</v>
      </c>
      <c r="R103">
        <f t="shared" si="2"/>
        <v>0</v>
      </c>
      <c r="S103" t="s">
        <v>21</v>
      </c>
      <c r="T103">
        <v>47</v>
      </c>
      <c r="U103" t="str">
        <f t="shared" si="3"/>
        <v>Gio:0</v>
      </c>
      <c r="AR103">
        <v>23</v>
      </c>
    </row>
    <row r="104" spans="1:44" x14ac:dyDescent="0.2">
      <c r="A104" t="s">
        <v>134</v>
      </c>
      <c r="B104" t="s">
        <v>662</v>
      </c>
      <c r="C104" t="s">
        <v>663</v>
      </c>
      <c r="D104" t="s">
        <v>42</v>
      </c>
      <c r="E104" t="s">
        <v>55</v>
      </c>
      <c r="F104">
        <v>19</v>
      </c>
      <c r="G104">
        <v>2003</v>
      </c>
      <c r="H104">
        <v>7</v>
      </c>
      <c r="I104">
        <v>0</v>
      </c>
      <c r="J104">
        <v>135</v>
      </c>
      <c r="K104">
        <v>1</v>
      </c>
      <c r="L104">
        <v>0</v>
      </c>
      <c r="M104">
        <v>1</v>
      </c>
      <c r="N104">
        <v>0</v>
      </c>
      <c r="O104">
        <v>0</v>
      </c>
      <c r="P104">
        <v>0</v>
      </c>
      <c r="Q104">
        <v>0</v>
      </c>
      <c r="R104">
        <f t="shared" si="2"/>
        <v>8.23045267489712E-5</v>
      </c>
      <c r="S104" t="s">
        <v>21</v>
      </c>
      <c r="T104">
        <v>30</v>
      </c>
      <c r="U104" t="str">
        <f t="shared" si="3"/>
        <v>Gio:0</v>
      </c>
      <c r="AR104">
        <v>23</v>
      </c>
    </row>
    <row r="105" spans="1:44" x14ac:dyDescent="0.2">
      <c r="A105" t="s">
        <v>119</v>
      </c>
      <c r="B105" t="s">
        <v>606</v>
      </c>
      <c r="C105" t="s">
        <v>607</v>
      </c>
      <c r="D105" t="s">
        <v>50</v>
      </c>
      <c r="E105" t="s">
        <v>24</v>
      </c>
      <c r="F105">
        <v>24</v>
      </c>
      <c r="G105">
        <v>1998</v>
      </c>
      <c r="H105">
        <v>21</v>
      </c>
      <c r="I105">
        <v>20</v>
      </c>
      <c r="J105">
        <v>1809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2</v>
      </c>
      <c r="Q105">
        <v>0</v>
      </c>
      <c r="R105">
        <f t="shared" si="2"/>
        <v>0</v>
      </c>
      <c r="S105" t="s">
        <v>21</v>
      </c>
      <c r="T105">
        <v>21</v>
      </c>
      <c r="U105" t="str">
        <f t="shared" si="3"/>
        <v>Grace Fisk:0</v>
      </c>
      <c r="AR105">
        <v>11</v>
      </c>
    </row>
    <row r="106" spans="1:44" x14ac:dyDescent="0.2">
      <c r="A106" t="s">
        <v>220</v>
      </c>
      <c r="B106" t="s">
        <v>632</v>
      </c>
      <c r="C106" t="s">
        <v>633</v>
      </c>
      <c r="D106" t="s">
        <v>40</v>
      </c>
      <c r="E106" t="s">
        <v>35</v>
      </c>
      <c r="F106">
        <v>29</v>
      </c>
      <c r="G106">
        <v>1993</v>
      </c>
      <c r="H106">
        <v>13</v>
      </c>
      <c r="I106">
        <v>12</v>
      </c>
      <c r="J106">
        <v>1101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1</v>
      </c>
      <c r="Q106">
        <v>0</v>
      </c>
      <c r="R106">
        <f t="shared" si="2"/>
        <v>0</v>
      </c>
      <c r="S106" t="s">
        <v>21</v>
      </c>
      <c r="T106">
        <v>11</v>
      </c>
      <c r="U106" t="str">
        <f t="shared" si="3"/>
        <v>Grace Moloney:0</v>
      </c>
      <c r="AR106">
        <v>16</v>
      </c>
    </row>
    <row r="107" spans="1:44" x14ac:dyDescent="0.2">
      <c r="A107" t="s">
        <v>241</v>
      </c>
      <c r="B107" t="s">
        <v>606</v>
      </c>
      <c r="C107" t="s">
        <v>607</v>
      </c>
      <c r="D107" t="s">
        <v>29</v>
      </c>
      <c r="E107" t="s">
        <v>30</v>
      </c>
      <c r="F107">
        <v>19</v>
      </c>
      <c r="G107">
        <v>2002</v>
      </c>
      <c r="H107">
        <v>1</v>
      </c>
      <c r="I107">
        <v>0</v>
      </c>
      <c r="J107">
        <v>20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f t="shared" si="2"/>
        <v>0</v>
      </c>
      <c r="S107" t="s">
        <v>21</v>
      </c>
      <c r="T107">
        <v>18</v>
      </c>
      <c r="U107" t="str">
        <f t="shared" si="3"/>
        <v>Gracie Pearse:0</v>
      </c>
      <c r="AR107">
        <v>16</v>
      </c>
    </row>
    <row r="108" spans="1:44" x14ac:dyDescent="0.2">
      <c r="A108" t="s">
        <v>58</v>
      </c>
      <c r="B108" t="s">
        <v>618</v>
      </c>
      <c r="C108" t="s">
        <v>619</v>
      </c>
      <c r="D108" t="s">
        <v>50</v>
      </c>
      <c r="E108" t="s">
        <v>48</v>
      </c>
      <c r="F108">
        <v>28</v>
      </c>
      <c r="G108">
        <v>1994</v>
      </c>
      <c r="H108">
        <v>10</v>
      </c>
      <c r="I108">
        <v>9</v>
      </c>
      <c r="J108">
        <v>741</v>
      </c>
      <c r="K108">
        <v>0</v>
      </c>
      <c r="L108">
        <v>1</v>
      </c>
      <c r="M108">
        <v>0</v>
      </c>
      <c r="N108">
        <v>0</v>
      </c>
      <c r="O108">
        <v>0</v>
      </c>
      <c r="P108">
        <v>0</v>
      </c>
      <c r="Q108">
        <v>0</v>
      </c>
      <c r="R108">
        <f t="shared" si="2"/>
        <v>0</v>
      </c>
      <c r="S108" t="s">
        <v>21</v>
      </c>
      <c r="T108">
        <v>16</v>
      </c>
      <c r="U108" t="str">
        <f t="shared" si="3"/>
        <v>Guro Bergsvand:1</v>
      </c>
      <c r="AR108">
        <v>37</v>
      </c>
    </row>
    <row r="109" spans="1:44" x14ac:dyDescent="0.2">
      <c r="A109" t="s">
        <v>258</v>
      </c>
      <c r="B109" t="s">
        <v>618</v>
      </c>
      <c r="C109" t="s">
        <v>619</v>
      </c>
      <c r="D109" t="s">
        <v>42</v>
      </c>
      <c r="E109" t="s">
        <v>20</v>
      </c>
      <c r="F109">
        <v>28</v>
      </c>
      <c r="G109">
        <v>1994</v>
      </c>
      <c r="H109">
        <v>21</v>
      </c>
      <c r="I109">
        <v>18</v>
      </c>
      <c r="J109">
        <v>1460</v>
      </c>
      <c r="K109">
        <v>9</v>
      </c>
      <c r="L109">
        <v>11</v>
      </c>
      <c r="M109">
        <v>7</v>
      </c>
      <c r="N109">
        <v>2</v>
      </c>
      <c r="O109">
        <v>2</v>
      </c>
      <c r="P109">
        <v>0</v>
      </c>
      <c r="Q109">
        <v>0</v>
      </c>
      <c r="R109">
        <f t="shared" si="2"/>
        <v>6.8493150684931502E-5</v>
      </c>
      <c r="S109" t="s">
        <v>21</v>
      </c>
      <c r="T109">
        <v>58</v>
      </c>
      <c r="U109" t="str">
        <f t="shared" si="3"/>
        <v>Guro Reiten:11</v>
      </c>
      <c r="AR109">
        <v>23</v>
      </c>
    </row>
    <row r="110" spans="1:44" x14ac:dyDescent="0.2">
      <c r="A110" t="s">
        <v>162</v>
      </c>
      <c r="B110" t="s">
        <v>606</v>
      </c>
      <c r="C110" t="s">
        <v>607</v>
      </c>
      <c r="D110" t="s">
        <v>34</v>
      </c>
      <c r="E110" t="s">
        <v>24</v>
      </c>
      <c r="F110">
        <v>17</v>
      </c>
      <c r="G110">
        <v>2004</v>
      </c>
      <c r="H110">
        <v>5</v>
      </c>
      <c r="I110">
        <v>0</v>
      </c>
      <c r="J110">
        <v>46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f t="shared" si="2"/>
        <v>0</v>
      </c>
      <c r="S110" t="s">
        <v>21</v>
      </c>
      <c r="T110">
        <v>21</v>
      </c>
      <c r="U110" t="str">
        <f t="shared" si="3"/>
        <v>Halle Houssein:0</v>
      </c>
      <c r="AR110">
        <v>47</v>
      </c>
    </row>
    <row r="111" spans="1:44" x14ac:dyDescent="0.2">
      <c r="A111" t="s">
        <v>56</v>
      </c>
      <c r="B111" t="s">
        <v>658</v>
      </c>
      <c r="C111" t="s">
        <v>659</v>
      </c>
      <c r="D111" t="s">
        <v>23</v>
      </c>
      <c r="E111" t="s">
        <v>55</v>
      </c>
      <c r="F111">
        <v>19</v>
      </c>
      <c r="G111">
        <v>2002</v>
      </c>
      <c r="H111">
        <v>21</v>
      </c>
      <c r="I111">
        <v>14</v>
      </c>
      <c r="J111">
        <v>1259</v>
      </c>
      <c r="K111">
        <v>3</v>
      </c>
      <c r="L111">
        <v>0</v>
      </c>
      <c r="M111">
        <v>3</v>
      </c>
      <c r="N111">
        <v>0</v>
      </c>
      <c r="O111">
        <v>0</v>
      </c>
      <c r="P111">
        <v>0</v>
      </c>
      <c r="Q111">
        <v>0</v>
      </c>
      <c r="R111">
        <f t="shared" si="2"/>
        <v>2.6476039184537995E-5</v>
      </c>
      <c r="S111" t="s">
        <v>21</v>
      </c>
      <c r="T111">
        <v>30</v>
      </c>
      <c r="U111" t="str">
        <f t="shared" si="3"/>
        <v>Hanna Bennison:0</v>
      </c>
      <c r="AR111">
        <v>30</v>
      </c>
    </row>
    <row r="112" spans="1:44" x14ac:dyDescent="0.2">
      <c r="A112" t="s">
        <v>63</v>
      </c>
      <c r="B112" t="s">
        <v>606</v>
      </c>
      <c r="C112" t="s">
        <v>607</v>
      </c>
      <c r="D112" t="s">
        <v>50</v>
      </c>
      <c r="E112" t="s">
        <v>52</v>
      </c>
      <c r="F112">
        <v>28</v>
      </c>
      <c r="G112">
        <v>1994</v>
      </c>
      <c r="H112">
        <v>22</v>
      </c>
      <c r="I112">
        <v>22</v>
      </c>
      <c r="J112">
        <v>1842</v>
      </c>
      <c r="K112">
        <v>1</v>
      </c>
      <c r="L112">
        <v>2</v>
      </c>
      <c r="M112">
        <v>1</v>
      </c>
      <c r="N112">
        <v>0</v>
      </c>
      <c r="O112">
        <v>0</v>
      </c>
      <c r="P112">
        <v>3</v>
      </c>
      <c r="Q112">
        <v>0</v>
      </c>
      <c r="R112">
        <f t="shared" si="2"/>
        <v>6.0320907226444687E-6</v>
      </c>
      <c r="S112" t="s">
        <v>21</v>
      </c>
      <c r="T112">
        <v>56</v>
      </c>
      <c r="U112" t="str">
        <f t="shared" si="3"/>
        <v>Hannah Blundell:2</v>
      </c>
      <c r="AR112">
        <v>21</v>
      </c>
    </row>
    <row r="113" spans="1:44" x14ac:dyDescent="0.2">
      <c r="A113" t="s">
        <v>78</v>
      </c>
      <c r="B113" t="s">
        <v>624</v>
      </c>
      <c r="C113" t="s">
        <v>625</v>
      </c>
      <c r="D113" t="s">
        <v>26</v>
      </c>
      <c r="E113" t="s">
        <v>46</v>
      </c>
      <c r="F113">
        <v>23</v>
      </c>
      <c r="G113">
        <v>1999</v>
      </c>
      <c r="H113">
        <v>14</v>
      </c>
      <c r="I113">
        <v>13</v>
      </c>
      <c r="J113">
        <v>1058</v>
      </c>
      <c r="K113">
        <v>2</v>
      </c>
      <c r="L113">
        <v>2</v>
      </c>
      <c r="M113">
        <v>1</v>
      </c>
      <c r="N113">
        <v>1</v>
      </c>
      <c r="O113">
        <v>1</v>
      </c>
      <c r="P113">
        <v>1</v>
      </c>
      <c r="Q113">
        <v>0</v>
      </c>
      <c r="R113">
        <f t="shared" si="2"/>
        <v>2.1003990758244067E-5</v>
      </c>
      <c r="S113" t="s">
        <v>21</v>
      </c>
      <c r="T113">
        <v>16</v>
      </c>
      <c r="U113" t="str">
        <f t="shared" si="3"/>
        <v>Hannah Cain:2</v>
      </c>
      <c r="AR113">
        <v>11</v>
      </c>
    </row>
    <row r="114" spans="1:44" x14ac:dyDescent="0.2">
      <c r="A114" t="s">
        <v>146</v>
      </c>
      <c r="B114" t="s">
        <v>606</v>
      </c>
      <c r="C114" t="s">
        <v>607</v>
      </c>
      <c r="D114" t="s">
        <v>40</v>
      </c>
      <c r="E114" t="s">
        <v>37</v>
      </c>
      <c r="F114">
        <v>21</v>
      </c>
      <c r="G114">
        <v>2000</v>
      </c>
      <c r="H114">
        <v>15</v>
      </c>
      <c r="I114">
        <v>15</v>
      </c>
      <c r="J114">
        <v>1350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1</v>
      </c>
      <c r="Q114">
        <v>0</v>
      </c>
      <c r="R114">
        <f t="shared" si="2"/>
        <v>0</v>
      </c>
      <c r="S114" t="s">
        <v>21</v>
      </c>
      <c r="T114">
        <v>37</v>
      </c>
      <c r="U114" t="str">
        <f t="shared" si="3"/>
        <v>Hannah Hampton:0</v>
      </c>
      <c r="AR114">
        <v>18</v>
      </c>
    </row>
    <row r="115" spans="1:44" x14ac:dyDescent="0.2">
      <c r="A115" t="s">
        <v>277</v>
      </c>
      <c r="B115" t="s">
        <v>606</v>
      </c>
      <c r="C115" t="s">
        <v>607</v>
      </c>
      <c r="D115" t="s">
        <v>50</v>
      </c>
      <c r="E115" t="s">
        <v>65</v>
      </c>
      <c r="F115">
        <v>17</v>
      </c>
      <c r="G115">
        <v>2004</v>
      </c>
      <c r="H115">
        <v>1</v>
      </c>
      <c r="I115">
        <v>1</v>
      </c>
      <c r="J115">
        <v>45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f t="shared" si="2"/>
        <v>0</v>
      </c>
      <c r="S115" t="s">
        <v>21</v>
      </c>
      <c r="T115">
        <v>23</v>
      </c>
      <c r="U115" t="str">
        <f t="shared" si="3"/>
        <v>Hannah Silcock:0</v>
      </c>
      <c r="AR115">
        <v>16</v>
      </c>
    </row>
    <row r="116" spans="1:44" x14ac:dyDescent="0.2">
      <c r="A116" t="s">
        <v>90</v>
      </c>
      <c r="B116" t="s">
        <v>610</v>
      </c>
      <c r="C116" t="s">
        <v>611</v>
      </c>
      <c r="D116" t="s">
        <v>50</v>
      </c>
      <c r="E116" t="s">
        <v>24</v>
      </c>
      <c r="F116">
        <v>25</v>
      </c>
      <c r="G116">
        <v>1997</v>
      </c>
      <c r="H116">
        <v>16</v>
      </c>
      <c r="I116">
        <v>14</v>
      </c>
      <c r="J116">
        <v>1290</v>
      </c>
      <c r="K116">
        <v>1</v>
      </c>
      <c r="L116">
        <v>0</v>
      </c>
      <c r="M116">
        <v>1</v>
      </c>
      <c r="N116">
        <v>0</v>
      </c>
      <c r="O116">
        <v>0</v>
      </c>
      <c r="P116">
        <v>3</v>
      </c>
      <c r="Q116">
        <v>1</v>
      </c>
      <c r="R116">
        <f t="shared" si="2"/>
        <v>8.6132644272179153E-6</v>
      </c>
      <c r="S116" t="s">
        <v>21</v>
      </c>
      <c r="T116">
        <v>21</v>
      </c>
      <c r="U116" t="str">
        <f t="shared" si="3"/>
        <v>Hawa Cissoko:0</v>
      </c>
      <c r="AR116">
        <v>16</v>
      </c>
    </row>
    <row r="117" spans="1:44" x14ac:dyDescent="0.2">
      <c r="A117" t="s">
        <v>188</v>
      </c>
      <c r="B117" t="s">
        <v>624</v>
      </c>
      <c r="C117" t="s">
        <v>625</v>
      </c>
      <c r="D117" t="s">
        <v>34</v>
      </c>
      <c r="E117" t="s">
        <v>52</v>
      </c>
      <c r="F117">
        <v>28</v>
      </c>
      <c r="G117">
        <v>1993</v>
      </c>
      <c r="H117">
        <v>21</v>
      </c>
      <c r="I117">
        <v>19</v>
      </c>
      <c r="J117">
        <v>1699</v>
      </c>
      <c r="K117">
        <v>4</v>
      </c>
      <c r="L117">
        <v>2</v>
      </c>
      <c r="M117">
        <v>4</v>
      </c>
      <c r="N117">
        <v>0</v>
      </c>
      <c r="O117">
        <v>0</v>
      </c>
      <c r="P117">
        <v>2</v>
      </c>
      <c r="Q117">
        <v>0</v>
      </c>
      <c r="R117">
        <f t="shared" si="2"/>
        <v>2.6159178601791903E-5</v>
      </c>
      <c r="S117" t="s">
        <v>21</v>
      </c>
      <c r="T117">
        <v>56</v>
      </c>
      <c r="U117" t="str">
        <f t="shared" si="3"/>
        <v>Hayley Ladd:2</v>
      </c>
      <c r="AR117">
        <v>58</v>
      </c>
    </row>
    <row r="118" spans="1:44" x14ac:dyDescent="0.2">
      <c r="A118" t="s">
        <v>256</v>
      </c>
      <c r="B118" t="s">
        <v>612</v>
      </c>
      <c r="C118" t="s">
        <v>613</v>
      </c>
      <c r="D118" t="s">
        <v>248</v>
      </c>
      <c r="E118" t="s">
        <v>32</v>
      </c>
      <c r="F118">
        <v>27</v>
      </c>
      <c r="G118">
        <v>1994</v>
      </c>
      <c r="H118">
        <v>16</v>
      </c>
      <c r="I118">
        <v>1</v>
      </c>
      <c r="J118">
        <v>316</v>
      </c>
      <c r="K118">
        <v>1</v>
      </c>
      <c r="L118">
        <v>0</v>
      </c>
      <c r="M118">
        <v>1</v>
      </c>
      <c r="N118">
        <v>0</v>
      </c>
      <c r="O118">
        <v>0</v>
      </c>
      <c r="P118">
        <v>1</v>
      </c>
      <c r="Q118">
        <v>0</v>
      </c>
      <c r="R118">
        <f t="shared" si="2"/>
        <v>3.5161744022503517E-5</v>
      </c>
      <c r="S118" t="s">
        <v>21</v>
      </c>
      <c r="T118">
        <v>47</v>
      </c>
      <c r="U118" t="str">
        <f t="shared" si="3"/>
        <v>Hayley Raso:0</v>
      </c>
      <c r="AR118">
        <v>21</v>
      </c>
    </row>
    <row r="119" spans="1:44" x14ac:dyDescent="0.2">
      <c r="A119" t="s">
        <v>153</v>
      </c>
      <c r="B119" t="s">
        <v>660</v>
      </c>
      <c r="C119" t="s">
        <v>661</v>
      </c>
      <c r="D119" t="s">
        <v>23</v>
      </c>
      <c r="E119" t="s">
        <v>24</v>
      </c>
      <c r="F119">
        <v>24</v>
      </c>
      <c r="G119">
        <v>1998</v>
      </c>
      <c r="H119">
        <v>21</v>
      </c>
      <c r="I119">
        <v>19</v>
      </c>
      <c r="J119">
        <v>1511</v>
      </c>
      <c r="K119">
        <v>1</v>
      </c>
      <c r="L119">
        <v>0</v>
      </c>
      <c r="M119">
        <v>1</v>
      </c>
      <c r="N119">
        <v>0</v>
      </c>
      <c r="O119">
        <v>0</v>
      </c>
      <c r="P119">
        <v>1</v>
      </c>
      <c r="Q119">
        <v>0</v>
      </c>
      <c r="R119">
        <f t="shared" si="2"/>
        <v>7.3534818736671814E-6</v>
      </c>
      <c r="S119" t="s">
        <v>21</v>
      </c>
      <c r="T119">
        <v>21</v>
      </c>
      <c r="U119" t="str">
        <f t="shared" si="3"/>
        <v>Honoka Hayashi:0</v>
      </c>
      <c r="AR119">
        <v>30</v>
      </c>
    </row>
    <row r="120" spans="1:44" x14ac:dyDescent="0.2">
      <c r="A120" t="s">
        <v>137</v>
      </c>
      <c r="B120" t="s">
        <v>606</v>
      </c>
      <c r="C120" t="s">
        <v>607</v>
      </c>
      <c r="D120" t="s">
        <v>26</v>
      </c>
      <c r="E120" t="s">
        <v>37</v>
      </c>
      <c r="F120">
        <v>19</v>
      </c>
      <c r="G120">
        <v>2002</v>
      </c>
      <c r="H120">
        <v>3</v>
      </c>
      <c r="I120">
        <v>0</v>
      </c>
      <c r="J120">
        <v>7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f t="shared" si="2"/>
        <v>0</v>
      </c>
      <c r="S120" t="s">
        <v>21</v>
      </c>
      <c r="T120">
        <v>37</v>
      </c>
      <c r="U120" t="str">
        <f t="shared" si="3"/>
        <v>Isobel Goodwin:0</v>
      </c>
      <c r="AR120">
        <v>30</v>
      </c>
    </row>
    <row r="121" spans="1:44" x14ac:dyDescent="0.2">
      <c r="A121" t="s">
        <v>43</v>
      </c>
      <c r="B121" t="s">
        <v>632</v>
      </c>
      <c r="C121" t="s">
        <v>633</v>
      </c>
      <c r="D121" t="s">
        <v>42</v>
      </c>
      <c r="E121" t="s">
        <v>24</v>
      </c>
      <c r="F121">
        <v>21</v>
      </c>
      <c r="G121">
        <v>2001</v>
      </c>
      <c r="H121">
        <v>16</v>
      </c>
      <c r="I121">
        <v>2</v>
      </c>
      <c r="J121">
        <v>389</v>
      </c>
      <c r="K121">
        <v>1</v>
      </c>
      <c r="L121">
        <v>1</v>
      </c>
      <c r="M121">
        <v>1</v>
      </c>
      <c r="N121">
        <v>0</v>
      </c>
      <c r="O121">
        <v>0</v>
      </c>
      <c r="P121">
        <v>0</v>
      </c>
      <c r="Q121">
        <v>0</v>
      </c>
      <c r="R121">
        <f t="shared" si="2"/>
        <v>2.8563267637817765E-5</v>
      </c>
      <c r="S121" t="s">
        <v>21</v>
      </c>
      <c r="T121">
        <v>21</v>
      </c>
      <c r="U121" t="str">
        <f t="shared" si="3"/>
        <v>Izzy Atkinson:1</v>
      </c>
      <c r="AR121">
        <v>56</v>
      </c>
    </row>
    <row r="122" spans="1:44" x14ac:dyDescent="0.2">
      <c r="A122" t="s">
        <v>89</v>
      </c>
      <c r="B122" t="s">
        <v>606</v>
      </c>
      <c r="C122" t="s">
        <v>607</v>
      </c>
      <c r="D122" t="s">
        <v>23</v>
      </c>
      <c r="E122" t="s">
        <v>55</v>
      </c>
      <c r="F122">
        <v>30</v>
      </c>
      <c r="G122">
        <v>1991</v>
      </c>
      <c r="H122">
        <v>20</v>
      </c>
      <c r="I122">
        <v>5</v>
      </c>
      <c r="J122">
        <v>582</v>
      </c>
      <c r="K122">
        <v>0</v>
      </c>
      <c r="L122">
        <v>1</v>
      </c>
      <c r="M122">
        <v>0</v>
      </c>
      <c r="N122">
        <v>0</v>
      </c>
      <c r="O122">
        <v>0</v>
      </c>
      <c r="P122">
        <v>0</v>
      </c>
      <c r="Q122">
        <v>0</v>
      </c>
      <c r="R122">
        <f t="shared" si="2"/>
        <v>0</v>
      </c>
      <c r="S122" t="s">
        <v>21</v>
      </c>
      <c r="T122">
        <v>30</v>
      </c>
      <c r="U122" t="str">
        <f t="shared" si="3"/>
        <v>Izzy Christiansen:1</v>
      </c>
      <c r="AR122">
        <v>56</v>
      </c>
    </row>
    <row r="123" spans="1:44" x14ac:dyDescent="0.2">
      <c r="A123" t="s">
        <v>76</v>
      </c>
      <c r="B123" t="s">
        <v>646</v>
      </c>
      <c r="C123" t="s">
        <v>647</v>
      </c>
      <c r="D123" t="s">
        <v>40</v>
      </c>
      <c r="E123" t="s">
        <v>35</v>
      </c>
      <c r="F123">
        <v>25</v>
      </c>
      <c r="G123">
        <v>1997</v>
      </c>
      <c r="H123">
        <v>10</v>
      </c>
      <c r="I123">
        <v>10</v>
      </c>
      <c r="J123">
        <v>874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1</v>
      </c>
      <c r="R123">
        <f t="shared" si="2"/>
        <v>0</v>
      </c>
      <c r="S123" t="s">
        <v>21</v>
      </c>
      <c r="T123">
        <v>11</v>
      </c>
      <c r="U123" t="str">
        <f t="shared" si="3"/>
        <v>Jackie Burns:0</v>
      </c>
      <c r="AR123">
        <v>16</v>
      </c>
    </row>
    <row r="124" spans="1:44" x14ac:dyDescent="0.2">
      <c r="A124" t="s">
        <v>221</v>
      </c>
      <c r="B124" t="s">
        <v>606</v>
      </c>
      <c r="C124" t="s">
        <v>607</v>
      </c>
      <c r="D124" t="s">
        <v>94</v>
      </c>
      <c r="E124" t="s">
        <v>52</v>
      </c>
      <c r="F124">
        <v>31</v>
      </c>
      <c r="G124">
        <v>1990</v>
      </c>
      <c r="H124">
        <v>3</v>
      </c>
      <c r="I124">
        <v>0</v>
      </c>
      <c r="J124">
        <v>31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f t="shared" si="2"/>
        <v>0</v>
      </c>
      <c r="S124" t="s">
        <v>21</v>
      </c>
      <c r="T124">
        <v>56</v>
      </c>
      <c r="U124" t="str">
        <f t="shared" si="3"/>
        <v>Jade Moore:0</v>
      </c>
      <c r="AR124">
        <v>37</v>
      </c>
    </row>
    <row r="125" spans="1:44" x14ac:dyDescent="0.2">
      <c r="A125" t="s">
        <v>221</v>
      </c>
      <c r="B125" t="s">
        <v>606</v>
      </c>
      <c r="C125" t="s">
        <v>607</v>
      </c>
      <c r="D125" t="s">
        <v>34</v>
      </c>
      <c r="E125" t="s">
        <v>35</v>
      </c>
      <c r="F125">
        <v>31</v>
      </c>
      <c r="G125">
        <v>1990</v>
      </c>
      <c r="H125">
        <v>9</v>
      </c>
      <c r="I125">
        <v>7</v>
      </c>
      <c r="J125">
        <v>645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2</v>
      </c>
      <c r="Q125">
        <v>0</v>
      </c>
      <c r="R125">
        <f t="shared" si="2"/>
        <v>0</v>
      </c>
      <c r="S125" t="s">
        <v>21</v>
      </c>
      <c r="T125">
        <v>11</v>
      </c>
      <c r="U125" t="str">
        <f t="shared" si="3"/>
        <v>Jade Moore:0</v>
      </c>
      <c r="AR125">
        <v>23</v>
      </c>
    </row>
    <row r="126" spans="1:44" x14ac:dyDescent="0.2">
      <c r="A126" t="s">
        <v>195</v>
      </c>
      <c r="B126" t="s">
        <v>630</v>
      </c>
      <c r="C126" t="s">
        <v>631</v>
      </c>
      <c r="D126" t="s">
        <v>40</v>
      </c>
      <c r="E126" t="s">
        <v>46</v>
      </c>
      <c r="F126">
        <v>23</v>
      </c>
      <c r="G126">
        <v>1999</v>
      </c>
      <c r="H126">
        <v>13</v>
      </c>
      <c r="I126">
        <v>13</v>
      </c>
      <c r="J126">
        <v>1170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f t="shared" si="2"/>
        <v>0</v>
      </c>
      <c r="S126" t="s">
        <v>21</v>
      </c>
      <c r="T126">
        <v>16</v>
      </c>
      <c r="U126" t="str">
        <f t="shared" si="3"/>
        <v>Janina Leitzig:0</v>
      </c>
      <c r="AR126">
        <v>21</v>
      </c>
    </row>
    <row r="127" spans="1:44" x14ac:dyDescent="0.2">
      <c r="A127" t="s">
        <v>210</v>
      </c>
      <c r="B127" t="s">
        <v>606</v>
      </c>
      <c r="C127" t="s">
        <v>607</v>
      </c>
      <c r="D127" t="s">
        <v>29</v>
      </c>
      <c r="E127" t="s">
        <v>65</v>
      </c>
      <c r="F127">
        <v>29</v>
      </c>
      <c r="G127">
        <v>1993</v>
      </c>
      <c r="H127">
        <v>20</v>
      </c>
      <c r="I127">
        <v>18</v>
      </c>
      <c r="J127">
        <v>1639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1</v>
      </c>
      <c r="Q127">
        <v>0</v>
      </c>
      <c r="R127">
        <f t="shared" si="2"/>
        <v>0</v>
      </c>
      <c r="S127" t="s">
        <v>21</v>
      </c>
      <c r="T127">
        <v>23</v>
      </c>
      <c r="U127" t="str">
        <f t="shared" si="3"/>
        <v>Jasmine Matthews:0</v>
      </c>
      <c r="AR127">
        <v>56</v>
      </c>
    </row>
    <row r="128" spans="1:44" x14ac:dyDescent="0.2">
      <c r="A128" t="s">
        <v>259</v>
      </c>
      <c r="B128" t="s">
        <v>608</v>
      </c>
      <c r="C128" t="s">
        <v>609</v>
      </c>
      <c r="D128" t="s">
        <v>50</v>
      </c>
      <c r="E128" t="s">
        <v>52</v>
      </c>
      <c r="F128">
        <v>21</v>
      </c>
      <c r="G128">
        <v>2001</v>
      </c>
      <c r="H128">
        <v>1</v>
      </c>
      <c r="I128">
        <v>0</v>
      </c>
      <c r="J128">
        <v>5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f t="shared" si="2"/>
        <v>0</v>
      </c>
      <c r="S128" t="s">
        <v>21</v>
      </c>
      <c r="T128">
        <v>56</v>
      </c>
      <c r="U128" t="str">
        <f t="shared" si="3"/>
        <v>Jayde Riviere:0</v>
      </c>
      <c r="AR128">
        <v>47</v>
      </c>
    </row>
    <row r="129" spans="1:44" x14ac:dyDescent="0.2">
      <c r="A129" t="s">
        <v>81</v>
      </c>
      <c r="B129" t="s">
        <v>644</v>
      </c>
      <c r="C129" t="s">
        <v>645</v>
      </c>
      <c r="D129" t="s">
        <v>34</v>
      </c>
      <c r="E129" t="s">
        <v>20</v>
      </c>
      <c r="F129">
        <v>26</v>
      </c>
      <c r="G129">
        <v>1995</v>
      </c>
      <c r="H129">
        <v>14</v>
      </c>
      <c r="I129">
        <v>6</v>
      </c>
      <c r="J129">
        <v>634</v>
      </c>
      <c r="K129">
        <v>4</v>
      </c>
      <c r="L129">
        <v>2</v>
      </c>
      <c r="M129">
        <v>4</v>
      </c>
      <c r="N129">
        <v>0</v>
      </c>
      <c r="O129">
        <v>0</v>
      </c>
      <c r="P129">
        <v>0</v>
      </c>
      <c r="Q129">
        <v>0</v>
      </c>
      <c r="R129">
        <f t="shared" si="2"/>
        <v>7.0101647388713626E-5</v>
      </c>
      <c r="S129" t="s">
        <v>21</v>
      </c>
      <c r="T129">
        <v>58</v>
      </c>
      <c r="U129" t="str">
        <f t="shared" si="3"/>
        <v>Jelena Čanković:2</v>
      </c>
      <c r="AR129">
        <v>21</v>
      </c>
    </row>
    <row r="130" spans="1:44" x14ac:dyDescent="0.2">
      <c r="A130" t="s">
        <v>102</v>
      </c>
      <c r="B130" t="s">
        <v>606</v>
      </c>
      <c r="C130" t="s">
        <v>607</v>
      </c>
      <c r="D130" t="s">
        <v>34</v>
      </c>
      <c r="E130" t="s">
        <v>32</v>
      </c>
      <c r="H130">
        <v>1</v>
      </c>
      <c r="I130">
        <v>0</v>
      </c>
      <c r="J130">
        <v>7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f t="shared" si="2"/>
        <v>0</v>
      </c>
      <c r="S130" t="s">
        <v>21</v>
      </c>
      <c r="T130">
        <v>47</v>
      </c>
      <c r="U130" t="str">
        <f t="shared" si="3"/>
        <v>Jemima Dahou:0</v>
      </c>
      <c r="AR130">
        <v>37</v>
      </c>
    </row>
    <row r="131" spans="1:44" x14ac:dyDescent="0.2">
      <c r="A131" t="s">
        <v>252</v>
      </c>
      <c r="B131" t="s">
        <v>606</v>
      </c>
      <c r="C131" t="s">
        <v>607</v>
      </c>
      <c r="D131" t="s">
        <v>29</v>
      </c>
      <c r="E131" t="s">
        <v>46</v>
      </c>
      <c r="F131">
        <v>25</v>
      </c>
      <c r="G131">
        <v>1997</v>
      </c>
      <c r="H131">
        <v>15</v>
      </c>
      <c r="I131">
        <v>11</v>
      </c>
      <c r="J131">
        <v>978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f t="shared" ref="R131:R194" si="4">K131/J131/90</f>
        <v>0</v>
      </c>
      <c r="S131" t="s">
        <v>21</v>
      </c>
      <c r="T131">
        <v>16</v>
      </c>
      <c r="U131" t="str">
        <f t="shared" ref="U131:U194" si="5">CONCATENATE(A131, ":", L131)</f>
        <v>Jemma Purfield:0</v>
      </c>
      <c r="AR131">
        <v>21</v>
      </c>
    </row>
    <row r="132" spans="1:44" x14ac:dyDescent="0.2">
      <c r="A132" t="s">
        <v>53</v>
      </c>
      <c r="B132" t="s">
        <v>652</v>
      </c>
      <c r="C132" t="s">
        <v>653</v>
      </c>
      <c r="D132" t="s">
        <v>50</v>
      </c>
      <c r="E132" t="s">
        <v>27</v>
      </c>
      <c r="F132">
        <v>31</v>
      </c>
      <c r="G132">
        <v>1991</v>
      </c>
      <c r="H132">
        <v>13</v>
      </c>
      <c r="I132">
        <v>6</v>
      </c>
      <c r="J132">
        <v>589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f t="shared" si="4"/>
        <v>0</v>
      </c>
      <c r="S132" t="s">
        <v>21</v>
      </c>
      <c r="T132">
        <v>47</v>
      </c>
      <c r="U132" t="str">
        <f t="shared" si="5"/>
        <v>Jennifer Beattie:0</v>
      </c>
      <c r="AR132">
        <v>21</v>
      </c>
    </row>
    <row r="133" spans="1:44" x14ac:dyDescent="0.2">
      <c r="A133" t="s">
        <v>83</v>
      </c>
      <c r="B133" t="s">
        <v>606</v>
      </c>
      <c r="C133" t="s">
        <v>607</v>
      </c>
      <c r="D133" t="s">
        <v>50</v>
      </c>
      <c r="E133" t="s">
        <v>20</v>
      </c>
      <c r="F133">
        <v>24</v>
      </c>
      <c r="G133">
        <v>1997</v>
      </c>
      <c r="H133">
        <v>17</v>
      </c>
      <c r="I133">
        <v>9</v>
      </c>
      <c r="J133">
        <v>927</v>
      </c>
      <c r="K133">
        <v>2</v>
      </c>
      <c r="L133">
        <v>1</v>
      </c>
      <c r="M133">
        <v>2</v>
      </c>
      <c r="N133">
        <v>0</v>
      </c>
      <c r="O133">
        <v>0</v>
      </c>
      <c r="P133">
        <v>0</v>
      </c>
      <c r="Q133">
        <v>0</v>
      </c>
      <c r="R133">
        <f t="shared" si="4"/>
        <v>2.3972192256981901E-5</v>
      </c>
      <c r="S133" t="s">
        <v>21</v>
      </c>
      <c r="T133">
        <v>58</v>
      </c>
      <c r="U133" t="str">
        <f t="shared" si="5"/>
        <v>Jess Carter:1</v>
      </c>
      <c r="AR133">
        <v>30</v>
      </c>
    </row>
    <row r="134" spans="1:44" x14ac:dyDescent="0.2">
      <c r="A134" t="s">
        <v>257</v>
      </c>
      <c r="D134" t="s">
        <v>50</v>
      </c>
      <c r="E134" t="s">
        <v>46</v>
      </c>
      <c r="H134">
        <v>1</v>
      </c>
      <c r="I134">
        <v>1</v>
      </c>
      <c r="J134">
        <v>45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f t="shared" si="4"/>
        <v>0</v>
      </c>
      <c r="S134" t="s">
        <v>21</v>
      </c>
      <c r="T134">
        <v>16</v>
      </c>
      <c r="U134" t="str">
        <f t="shared" si="5"/>
        <v>Jess Reavill:0</v>
      </c>
      <c r="AR134">
        <v>11</v>
      </c>
    </row>
    <row r="135" spans="1:44" x14ac:dyDescent="0.2">
      <c r="A135" t="s">
        <v>230</v>
      </c>
      <c r="B135" t="s">
        <v>606</v>
      </c>
      <c r="C135" t="s">
        <v>607</v>
      </c>
      <c r="D135" t="s">
        <v>42</v>
      </c>
      <c r="E135" t="s">
        <v>30</v>
      </c>
      <c r="F135">
        <v>21</v>
      </c>
      <c r="G135">
        <v>2000</v>
      </c>
      <c r="H135">
        <v>15</v>
      </c>
      <c r="I135">
        <v>5</v>
      </c>
      <c r="J135">
        <v>632</v>
      </c>
      <c r="K135">
        <v>2</v>
      </c>
      <c r="L135">
        <v>0</v>
      </c>
      <c r="M135">
        <v>2</v>
      </c>
      <c r="N135">
        <v>0</v>
      </c>
      <c r="O135">
        <v>0</v>
      </c>
      <c r="P135">
        <v>2</v>
      </c>
      <c r="Q135">
        <v>0</v>
      </c>
      <c r="R135">
        <f t="shared" si="4"/>
        <v>3.5161744022503517E-5</v>
      </c>
      <c r="S135" t="s">
        <v>21</v>
      </c>
      <c r="T135">
        <v>18</v>
      </c>
      <c r="U135" t="str">
        <f t="shared" si="5"/>
        <v>Jessica Ngunga:0</v>
      </c>
      <c r="AR135">
        <v>56</v>
      </c>
    </row>
    <row r="136" spans="1:44" x14ac:dyDescent="0.2">
      <c r="A136" t="s">
        <v>236</v>
      </c>
      <c r="B136" t="s">
        <v>606</v>
      </c>
      <c r="C136" t="s">
        <v>607</v>
      </c>
      <c r="D136" t="s">
        <v>42</v>
      </c>
      <c r="E136" t="s">
        <v>55</v>
      </c>
      <c r="F136">
        <v>20</v>
      </c>
      <c r="G136">
        <v>2001</v>
      </c>
      <c r="H136">
        <v>17</v>
      </c>
      <c r="I136">
        <v>16</v>
      </c>
      <c r="J136">
        <v>1393</v>
      </c>
      <c r="K136">
        <v>3</v>
      </c>
      <c r="L136">
        <v>4</v>
      </c>
      <c r="M136">
        <v>3</v>
      </c>
      <c r="N136">
        <v>0</v>
      </c>
      <c r="O136">
        <v>0</v>
      </c>
      <c r="P136">
        <v>0</v>
      </c>
      <c r="Q136">
        <v>0</v>
      </c>
      <c r="R136">
        <f t="shared" si="4"/>
        <v>2.3929169657812875E-5</v>
      </c>
      <c r="S136" t="s">
        <v>21</v>
      </c>
      <c r="T136">
        <v>30</v>
      </c>
      <c r="U136" t="str">
        <f t="shared" si="5"/>
        <v>Jessica Park:4</v>
      </c>
      <c r="AR136">
        <v>11</v>
      </c>
    </row>
    <row r="137" spans="1:44" x14ac:dyDescent="0.2">
      <c r="A137" t="s">
        <v>276</v>
      </c>
      <c r="B137" t="s">
        <v>606</v>
      </c>
      <c r="C137" t="s">
        <v>607</v>
      </c>
      <c r="D137" t="s">
        <v>34</v>
      </c>
      <c r="E137" t="s">
        <v>46</v>
      </c>
      <c r="F137">
        <v>27</v>
      </c>
      <c r="G137">
        <v>1994</v>
      </c>
      <c r="H137">
        <v>1</v>
      </c>
      <c r="I137">
        <v>0</v>
      </c>
      <c r="J137">
        <v>9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f t="shared" si="4"/>
        <v>0</v>
      </c>
      <c r="S137" t="s">
        <v>21</v>
      </c>
      <c r="T137">
        <v>16</v>
      </c>
      <c r="U137" t="str">
        <f t="shared" si="5"/>
        <v>Jessica Sigsworth:0</v>
      </c>
      <c r="AR137">
        <v>16</v>
      </c>
    </row>
    <row r="138" spans="1:44" x14ac:dyDescent="0.2">
      <c r="A138" t="s">
        <v>338</v>
      </c>
      <c r="B138" t="s">
        <v>632</v>
      </c>
      <c r="C138" t="s">
        <v>633</v>
      </c>
      <c r="D138" t="s">
        <v>94</v>
      </c>
      <c r="E138" t="s">
        <v>24</v>
      </c>
      <c r="F138">
        <v>20</v>
      </c>
      <c r="G138">
        <v>2002</v>
      </c>
      <c r="H138">
        <v>3</v>
      </c>
      <c r="I138">
        <v>2</v>
      </c>
      <c r="J138">
        <v>169</v>
      </c>
      <c r="K138">
        <v>0</v>
      </c>
      <c r="L138">
        <v>1</v>
      </c>
      <c r="M138">
        <v>0</v>
      </c>
      <c r="N138">
        <v>0</v>
      </c>
      <c r="O138">
        <v>0</v>
      </c>
      <c r="P138">
        <v>1</v>
      </c>
      <c r="Q138">
        <v>0</v>
      </c>
      <c r="R138">
        <f t="shared" si="4"/>
        <v>0</v>
      </c>
      <c r="S138" t="s">
        <v>21</v>
      </c>
      <c r="T138">
        <v>21</v>
      </c>
      <c r="U138" t="str">
        <f t="shared" si="5"/>
        <v>Jessica Ziu:1</v>
      </c>
      <c r="AR138">
        <v>23</v>
      </c>
    </row>
    <row r="139" spans="1:44" x14ac:dyDescent="0.2">
      <c r="A139" t="s">
        <v>122</v>
      </c>
      <c r="B139" t="s">
        <v>608</v>
      </c>
      <c r="C139" t="s">
        <v>609</v>
      </c>
      <c r="D139" t="s">
        <v>23</v>
      </c>
      <c r="E139" t="s">
        <v>20</v>
      </c>
      <c r="F139">
        <v>24</v>
      </c>
      <c r="G139">
        <v>1998</v>
      </c>
      <c r="H139">
        <v>20</v>
      </c>
      <c r="I139">
        <v>14</v>
      </c>
      <c r="J139">
        <v>1205</v>
      </c>
      <c r="K139">
        <v>3</v>
      </c>
      <c r="L139">
        <v>1</v>
      </c>
      <c r="M139">
        <v>3</v>
      </c>
      <c r="N139">
        <v>0</v>
      </c>
      <c r="O139">
        <v>0</v>
      </c>
      <c r="P139">
        <v>1</v>
      </c>
      <c r="Q139">
        <v>0</v>
      </c>
      <c r="R139">
        <f t="shared" si="4"/>
        <v>2.7662517289073305E-5</v>
      </c>
      <c r="S139" t="s">
        <v>21</v>
      </c>
      <c r="T139">
        <v>58</v>
      </c>
      <c r="U139" t="str">
        <f t="shared" si="5"/>
        <v>Jessie Fleming:1</v>
      </c>
      <c r="AR139">
        <v>56</v>
      </c>
    </row>
    <row r="140" spans="1:44" x14ac:dyDescent="0.2">
      <c r="A140" t="s">
        <v>298</v>
      </c>
      <c r="B140" t="s">
        <v>606</v>
      </c>
      <c r="C140" t="s">
        <v>607</v>
      </c>
      <c r="D140" t="s">
        <v>23</v>
      </c>
      <c r="E140" t="s">
        <v>27</v>
      </c>
      <c r="F140">
        <v>36</v>
      </c>
      <c r="G140">
        <v>1986</v>
      </c>
      <c r="H140">
        <v>8</v>
      </c>
      <c r="I140">
        <v>2</v>
      </c>
      <c r="J140">
        <v>315</v>
      </c>
      <c r="K140">
        <v>0</v>
      </c>
      <c r="L140">
        <v>1</v>
      </c>
      <c r="M140">
        <v>0</v>
      </c>
      <c r="N140">
        <v>0</v>
      </c>
      <c r="O140">
        <v>0</v>
      </c>
      <c r="P140">
        <v>1</v>
      </c>
      <c r="Q140">
        <v>0</v>
      </c>
      <c r="R140">
        <f t="shared" si="4"/>
        <v>0</v>
      </c>
      <c r="S140" t="s">
        <v>21</v>
      </c>
      <c r="T140">
        <v>47</v>
      </c>
      <c r="U140" t="str">
        <f t="shared" si="5"/>
        <v>Jodie Taylor:1</v>
      </c>
      <c r="AR140">
        <v>58</v>
      </c>
    </row>
    <row r="141" spans="1:44" x14ac:dyDescent="0.2">
      <c r="A141" t="s">
        <v>268</v>
      </c>
      <c r="B141" t="s">
        <v>658</v>
      </c>
      <c r="C141" t="s">
        <v>659</v>
      </c>
      <c r="D141" t="s">
        <v>42</v>
      </c>
      <c r="E141" t="s">
        <v>20</v>
      </c>
      <c r="F141">
        <v>25</v>
      </c>
      <c r="G141">
        <v>1997</v>
      </c>
      <c r="H141">
        <v>20</v>
      </c>
      <c r="I141">
        <v>7</v>
      </c>
      <c r="J141">
        <v>880</v>
      </c>
      <c r="K141">
        <v>1</v>
      </c>
      <c r="L141">
        <v>3</v>
      </c>
      <c r="M141">
        <v>1</v>
      </c>
      <c r="N141">
        <v>0</v>
      </c>
      <c r="O141">
        <v>0</v>
      </c>
      <c r="P141">
        <v>0</v>
      </c>
      <c r="Q141">
        <v>0</v>
      </c>
      <c r="R141">
        <f t="shared" si="4"/>
        <v>1.2626262626262626E-5</v>
      </c>
      <c r="S141" t="s">
        <v>21</v>
      </c>
      <c r="T141">
        <v>58</v>
      </c>
      <c r="U141" t="str">
        <f t="shared" si="5"/>
        <v>Johanna Rytting Kaneryd:3</v>
      </c>
      <c r="AR141">
        <v>47</v>
      </c>
    </row>
    <row r="142" spans="1:44" x14ac:dyDescent="0.2">
      <c r="A142" t="s">
        <v>231</v>
      </c>
      <c r="B142" t="s">
        <v>606</v>
      </c>
      <c r="C142" t="s">
        <v>607</v>
      </c>
      <c r="D142" t="s">
        <v>23</v>
      </c>
      <c r="E142" t="s">
        <v>27</v>
      </c>
      <c r="F142">
        <v>29</v>
      </c>
      <c r="G142">
        <v>1992</v>
      </c>
      <c r="H142">
        <v>9</v>
      </c>
      <c r="I142">
        <v>2</v>
      </c>
      <c r="J142">
        <v>296</v>
      </c>
      <c r="K142">
        <v>2</v>
      </c>
      <c r="L142">
        <v>0</v>
      </c>
      <c r="M142">
        <v>2</v>
      </c>
      <c r="N142">
        <v>0</v>
      </c>
      <c r="O142">
        <v>0</v>
      </c>
      <c r="P142">
        <v>0</v>
      </c>
      <c r="Q142">
        <v>0</v>
      </c>
      <c r="R142">
        <f t="shared" si="4"/>
        <v>7.5075075075075085E-5</v>
      </c>
      <c r="S142" t="s">
        <v>21</v>
      </c>
      <c r="T142">
        <v>47</v>
      </c>
      <c r="U142" t="str">
        <f t="shared" si="5"/>
        <v>Jordan Nobbs:0</v>
      </c>
      <c r="AR142">
        <v>16</v>
      </c>
    </row>
    <row r="143" spans="1:44" x14ac:dyDescent="0.2">
      <c r="A143" t="s">
        <v>231</v>
      </c>
      <c r="B143" t="s">
        <v>606</v>
      </c>
      <c r="C143" t="s">
        <v>607</v>
      </c>
      <c r="D143" t="s">
        <v>23</v>
      </c>
      <c r="E143" t="s">
        <v>37</v>
      </c>
      <c r="F143">
        <v>29</v>
      </c>
      <c r="G143">
        <v>1992</v>
      </c>
      <c r="H143">
        <v>11</v>
      </c>
      <c r="I143">
        <v>11</v>
      </c>
      <c r="J143">
        <v>850</v>
      </c>
      <c r="K143">
        <v>4</v>
      </c>
      <c r="L143">
        <v>0</v>
      </c>
      <c r="M143">
        <v>4</v>
      </c>
      <c r="N143">
        <v>0</v>
      </c>
      <c r="O143">
        <v>0</v>
      </c>
      <c r="P143">
        <v>2</v>
      </c>
      <c r="Q143">
        <v>0</v>
      </c>
      <c r="R143">
        <f t="shared" si="4"/>
        <v>5.2287581699346402E-5</v>
      </c>
      <c r="S143" t="s">
        <v>21</v>
      </c>
      <c r="T143">
        <v>37</v>
      </c>
      <c r="U143" t="str">
        <f t="shared" si="5"/>
        <v>Jordan Nobbs:0</v>
      </c>
      <c r="AR143">
        <v>47</v>
      </c>
    </row>
    <row r="144" spans="1:44" x14ac:dyDescent="0.2">
      <c r="A144" t="s">
        <v>126</v>
      </c>
      <c r="B144" t="s">
        <v>606</v>
      </c>
      <c r="C144" t="s">
        <v>607</v>
      </c>
      <c r="D144" t="s">
        <v>50</v>
      </c>
      <c r="E144" t="s">
        <v>48</v>
      </c>
      <c r="F144">
        <v>18</v>
      </c>
      <c r="G144">
        <v>2003</v>
      </c>
      <c r="H144">
        <v>16</v>
      </c>
      <c r="I144">
        <v>12</v>
      </c>
      <c r="J144">
        <v>1088</v>
      </c>
      <c r="K144">
        <v>1</v>
      </c>
      <c r="L144">
        <v>0</v>
      </c>
      <c r="M144">
        <v>1</v>
      </c>
      <c r="N144">
        <v>0</v>
      </c>
      <c r="O144">
        <v>0</v>
      </c>
      <c r="P144">
        <v>0</v>
      </c>
      <c r="Q144">
        <v>0</v>
      </c>
      <c r="R144">
        <f t="shared" si="4"/>
        <v>1.0212418300653594E-5</v>
      </c>
      <c r="S144" t="s">
        <v>21</v>
      </c>
      <c r="T144">
        <v>16</v>
      </c>
      <c r="U144" t="str">
        <f t="shared" si="5"/>
        <v>Jorja Fox:0</v>
      </c>
      <c r="AR144">
        <v>47</v>
      </c>
    </row>
    <row r="145" spans="1:44" x14ac:dyDescent="0.2">
      <c r="A145" t="s">
        <v>141</v>
      </c>
      <c r="B145" t="s">
        <v>624</v>
      </c>
      <c r="C145" t="s">
        <v>625</v>
      </c>
      <c r="D145" t="s">
        <v>34</v>
      </c>
      <c r="E145" t="s">
        <v>46</v>
      </c>
      <c r="F145">
        <v>29</v>
      </c>
      <c r="G145">
        <v>1993</v>
      </c>
      <c r="H145">
        <v>15</v>
      </c>
      <c r="I145">
        <v>12</v>
      </c>
      <c r="J145">
        <v>978</v>
      </c>
      <c r="K145">
        <v>1</v>
      </c>
      <c r="L145">
        <v>1</v>
      </c>
      <c r="M145">
        <v>1</v>
      </c>
      <c r="N145">
        <v>0</v>
      </c>
      <c r="O145">
        <v>0</v>
      </c>
      <c r="P145">
        <v>1</v>
      </c>
      <c r="Q145">
        <v>0</v>
      </c>
      <c r="R145">
        <f t="shared" si="4"/>
        <v>1.1361054305839583E-5</v>
      </c>
      <c r="S145" t="s">
        <v>21</v>
      </c>
      <c r="T145">
        <v>16</v>
      </c>
      <c r="U145" t="str">
        <f t="shared" si="5"/>
        <v>Josephine Green:1</v>
      </c>
      <c r="AR145">
        <v>58</v>
      </c>
    </row>
    <row r="146" spans="1:44" x14ac:dyDescent="0.2">
      <c r="A146" t="s">
        <v>336</v>
      </c>
      <c r="B146" t="s">
        <v>658</v>
      </c>
      <c r="C146" t="s">
        <v>659</v>
      </c>
      <c r="D146" t="s">
        <v>34</v>
      </c>
      <c r="E146" t="s">
        <v>48</v>
      </c>
      <c r="F146">
        <v>24</v>
      </c>
      <c r="G146">
        <v>1997</v>
      </c>
      <c r="H146">
        <v>20</v>
      </c>
      <c r="I146">
        <v>19</v>
      </c>
      <c r="J146">
        <v>1670</v>
      </c>
      <c r="K146">
        <v>2</v>
      </c>
      <c r="L146">
        <v>1</v>
      </c>
      <c r="M146">
        <v>2</v>
      </c>
      <c r="N146">
        <v>0</v>
      </c>
      <c r="O146">
        <v>0</v>
      </c>
      <c r="P146">
        <v>4</v>
      </c>
      <c r="Q146">
        <v>0</v>
      </c>
      <c r="R146">
        <f t="shared" si="4"/>
        <v>1.3306719893546241E-5</v>
      </c>
      <c r="S146" t="s">
        <v>21</v>
      </c>
      <c r="T146">
        <v>16</v>
      </c>
      <c r="U146" t="str">
        <f t="shared" si="5"/>
        <v>Julia Zigiotti Olme:1</v>
      </c>
      <c r="AR146">
        <v>16</v>
      </c>
    </row>
    <row r="147" spans="1:44" x14ac:dyDescent="0.2">
      <c r="A147" t="s">
        <v>61</v>
      </c>
      <c r="B147" t="s">
        <v>618</v>
      </c>
      <c r="C147" t="s">
        <v>619</v>
      </c>
      <c r="D147" t="s">
        <v>26</v>
      </c>
      <c r="E147" t="s">
        <v>32</v>
      </c>
      <c r="F147">
        <v>20</v>
      </c>
      <c r="G147">
        <v>2001</v>
      </c>
      <c r="H147">
        <v>9</v>
      </c>
      <c r="I147">
        <v>2</v>
      </c>
      <c r="J147">
        <v>237</v>
      </c>
      <c r="K147">
        <v>2</v>
      </c>
      <c r="L147">
        <v>1</v>
      </c>
      <c r="M147">
        <v>2</v>
      </c>
      <c r="N147">
        <v>0</v>
      </c>
      <c r="O147">
        <v>0</v>
      </c>
      <c r="P147">
        <v>0</v>
      </c>
      <c r="Q147">
        <v>0</v>
      </c>
      <c r="R147">
        <f t="shared" si="4"/>
        <v>9.376465072667604E-5</v>
      </c>
      <c r="S147" t="s">
        <v>21</v>
      </c>
      <c r="T147">
        <v>47</v>
      </c>
      <c r="U147" t="str">
        <f t="shared" si="5"/>
        <v>Julie Blakstad:1</v>
      </c>
      <c r="AR147">
        <v>18</v>
      </c>
    </row>
    <row r="148" spans="1:44" x14ac:dyDescent="0.2">
      <c r="A148" t="s">
        <v>314</v>
      </c>
      <c r="B148" t="s">
        <v>622</v>
      </c>
      <c r="C148" t="s">
        <v>623</v>
      </c>
      <c r="D148" t="s">
        <v>34</v>
      </c>
      <c r="E148" t="s">
        <v>35</v>
      </c>
      <c r="F148">
        <v>30</v>
      </c>
      <c r="G148">
        <v>1992</v>
      </c>
      <c r="H148">
        <v>20</v>
      </c>
      <c r="I148">
        <v>18</v>
      </c>
      <c r="J148">
        <v>1510</v>
      </c>
      <c r="K148">
        <v>4</v>
      </c>
      <c r="L148">
        <v>0</v>
      </c>
      <c r="M148">
        <v>3</v>
      </c>
      <c r="N148">
        <v>1</v>
      </c>
      <c r="O148">
        <v>1</v>
      </c>
      <c r="P148">
        <v>2</v>
      </c>
      <c r="Q148">
        <v>0</v>
      </c>
      <c r="R148">
        <f t="shared" si="4"/>
        <v>2.9433406916850625E-5</v>
      </c>
      <c r="S148" t="s">
        <v>21</v>
      </c>
      <c r="T148">
        <v>11</v>
      </c>
      <c r="U148" t="str">
        <f t="shared" si="5"/>
        <v>Justine Vanhaevermaet:0</v>
      </c>
      <c r="AR148">
        <v>30</v>
      </c>
    </row>
    <row r="149" spans="1:44" x14ac:dyDescent="0.2">
      <c r="A149" t="s">
        <v>75</v>
      </c>
      <c r="B149" t="s">
        <v>608</v>
      </c>
      <c r="C149" t="s">
        <v>609</v>
      </c>
      <c r="D149" t="s">
        <v>50</v>
      </c>
      <c r="E149" t="s">
        <v>20</v>
      </c>
      <c r="F149">
        <v>26</v>
      </c>
      <c r="G149">
        <v>1995</v>
      </c>
      <c r="H149">
        <v>16</v>
      </c>
      <c r="I149">
        <v>14</v>
      </c>
      <c r="J149">
        <v>1269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2</v>
      </c>
      <c r="Q149">
        <v>0</v>
      </c>
      <c r="R149">
        <f t="shared" si="4"/>
        <v>0</v>
      </c>
      <c r="S149" t="s">
        <v>21</v>
      </c>
      <c r="T149">
        <v>58</v>
      </c>
      <c r="U149" t="str">
        <f t="shared" si="5"/>
        <v>Kadeisha Buchanan:0</v>
      </c>
      <c r="AR149">
        <v>16</v>
      </c>
    </row>
    <row r="150" spans="1:44" x14ac:dyDescent="0.2">
      <c r="A150" t="s">
        <v>159</v>
      </c>
      <c r="B150" t="s">
        <v>620</v>
      </c>
      <c r="C150" t="s">
        <v>621</v>
      </c>
      <c r="D150" t="s">
        <v>94</v>
      </c>
      <c r="E150" t="s">
        <v>55</v>
      </c>
      <c r="F150">
        <v>23</v>
      </c>
      <c r="G150">
        <v>1999</v>
      </c>
      <c r="H150">
        <v>19</v>
      </c>
      <c r="I150">
        <v>15</v>
      </c>
      <c r="J150">
        <v>1231</v>
      </c>
      <c r="K150">
        <v>1</v>
      </c>
      <c r="L150">
        <v>2</v>
      </c>
      <c r="M150">
        <v>1</v>
      </c>
      <c r="N150">
        <v>0</v>
      </c>
      <c r="O150">
        <v>0</v>
      </c>
      <c r="P150">
        <v>1</v>
      </c>
      <c r="Q150">
        <v>0</v>
      </c>
      <c r="R150">
        <f t="shared" si="4"/>
        <v>9.0260853867677583E-6</v>
      </c>
      <c r="S150" t="s">
        <v>21</v>
      </c>
      <c r="T150">
        <v>30</v>
      </c>
      <c r="U150" t="str">
        <f t="shared" si="5"/>
        <v>Karen Holmgaard:2</v>
      </c>
      <c r="AR150">
        <v>21</v>
      </c>
    </row>
    <row r="151" spans="1:44" x14ac:dyDescent="0.2">
      <c r="A151" t="s">
        <v>201</v>
      </c>
      <c r="B151" t="s">
        <v>606</v>
      </c>
      <c r="C151" t="s">
        <v>607</v>
      </c>
      <c r="D151" t="s">
        <v>94</v>
      </c>
      <c r="E151" t="s">
        <v>24</v>
      </c>
      <c r="F151">
        <v>33</v>
      </c>
      <c r="G151">
        <v>1989</v>
      </c>
      <c r="H151">
        <v>21</v>
      </c>
      <c r="I151">
        <v>15</v>
      </c>
      <c r="J151">
        <v>1371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3</v>
      </c>
      <c r="Q151">
        <v>0</v>
      </c>
      <c r="R151">
        <f t="shared" si="4"/>
        <v>0</v>
      </c>
      <c r="S151" t="s">
        <v>21</v>
      </c>
      <c r="T151">
        <v>21</v>
      </c>
      <c r="U151" t="str">
        <f t="shared" si="5"/>
        <v>Kate Longhurst:0</v>
      </c>
      <c r="AR151">
        <v>58</v>
      </c>
    </row>
    <row r="152" spans="1:44" x14ac:dyDescent="0.2">
      <c r="A152" t="s">
        <v>295</v>
      </c>
      <c r="B152" t="s">
        <v>664</v>
      </c>
      <c r="C152" t="s">
        <v>665</v>
      </c>
      <c r="D152" t="s">
        <v>42</v>
      </c>
      <c r="E152" t="s">
        <v>20</v>
      </c>
      <c r="F152">
        <v>26</v>
      </c>
      <c r="G152">
        <v>1996</v>
      </c>
      <c r="H152">
        <v>3</v>
      </c>
      <c r="I152">
        <v>1</v>
      </c>
      <c r="J152">
        <v>86</v>
      </c>
      <c r="K152">
        <v>0</v>
      </c>
      <c r="L152">
        <v>1</v>
      </c>
      <c r="M152">
        <v>0</v>
      </c>
      <c r="N152">
        <v>0</v>
      </c>
      <c r="O152">
        <v>0</v>
      </c>
      <c r="P152">
        <v>0</v>
      </c>
      <c r="Q152">
        <v>0</v>
      </c>
      <c r="R152">
        <f t="shared" si="4"/>
        <v>0</v>
      </c>
      <c r="S152" t="s">
        <v>21</v>
      </c>
      <c r="T152">
        <v>58</v>
      </c>
      <c r="U152" t="str">
        <f t="shared" si="5"/>
        <v>Kateřina Svitková:1</v>
      </c>
      <c r="AR152">
        <v>47</v>
      </c>
    </row>
    <row r="153" spans="1:44" x14ac:dyDescent="0.2">
      <c r="A153" t="s">
        <v>185</v>
      </c>
      <c r="B153" t="s">
        <v>620</v>
      </c>
      <c r="C153" t="s">
        <v>621</v>
      </c>
      <c r="D153" t="s">
        <v>23</v>
      </c>
      <c r="E153" t="s">
        <v>27</v>
      </c>
      <c r="F153">
        <v>19</v>
      </c>
      <c r="G153">
        <v>2003</v>
      </c>
      <c r="H153">
        <v>11</v>
      </c>
      <c r="I153">
        <v>4</v>
      </c>
      <c r="J153">
        <v>453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f t="shared" si="4"/>
        <v>0</v>
      </c>
      <c r="S153" t="s">
        <v>21</v>
      </c>
      <c r="T153">
        <v>47</v>
      </c>
      <c r="U153" t="str">
        <f t="shared" si="5"/>
        <v>Kathrine Kühl:0</v>
      </c>
      <c r="AR153">
        <v>58</v>
      </c>
    </row>
    <row r="154" spans="1:44" x14ac:dyDescent="0.2">
      <c r="A154" t="s">
        <v>213</v>
      </c>
      <c r="B154" t="s">
        <v>632</v>
      </c>
      <c r="C154" t="s">
        <v>633</v>
      </c>
      <c r="D154" t="s">
        <v>19</v>
      </c>
      <c r="E154" t="s">
        <v>27</v>
      </c>
      <c r="F154">
        <v>26</v>
      </c>
      <c r="G154">
        <v>1995</v>
      </c>
      <c r="H154">
        <v>21</v>
      </c>
      <c r="I154">
        <v>18</v>
      </c>
      <c r="J154">
        <v>1674</v>
      </c>
      <c r="K154">
        <v>3</v>
      </c>
      <c r="L154">
        <v>4</v>
      </c>
      <c r="M154">
        <v>3</v>
      </c>
      <c r="N154">
        <v>0</v>
      </c>
      <c r="O154">
        <v>2</v>
      </c>
      <c r="P154">
        <v>7</v>
      </c>
      <c r="Q154">
        <v>0</v>
      </c>
      <c r="R154">
        <f t="shared" si="4"/>
        <v>1.9912385503783354E-5</v>
      </c>
      <c r="S154" t="s">
        <v>21</v>
      </c>
      <c r="T154">
        <v>47</v>
      </c>
      <c r="U154" t="str">
        <f t="shared" si="5"/>
        <v>Katie McCabe:4</v>
      </c>
      <c r="AR154">
        <v>47</v>
      </c>
    </row>
    <row r="155" spans="1:44" x14ac:dyDescent="0.2">
      <c r="A155" t="s">
        <v>262</v>
      </c>
      <c r="B155" t="s">
        <v>606</v>
      </c>
      <c r="C155" t="s">
        <v>607</v>
      </c>
      <c r="D155" t="s">
        <v>42</v>
      </c>
      <c r="E155" t="s">
        <v>48</v>
      </c>
      <c r="F155">
        <v>19</v>
      </c>
      <c r="G155">
        <v>2002</v>
      </c>
      <c r="H155">
        <v>22</v>
      </c>
      <c r="I155">
        <v>21</v>
      </c>
      <c r="J155">
        <v>1843</v>
      </c>
      <c r="K155">
        <v>4</v>
      </c>
      <c r="L155">
        <v>6</v>
      </c>
      <c r="M155">
        <v>4</v>
      </c>
      <c r="N155">
        <v>0</v>
      </c>
      <c r="O155">
        <v>0</v>
      </c>
      <c r="P155">
        <v>0</v>
      </c>
      <c r="Q155">
        <v>0</v>
      </c>
      <c r="R155">
        <f t="shared" si="4"/>
        <v>2.4115270995357812E-5</v>
      </c>
      <c r="S155" t="s">
        <v>21</v>
      </c>
      <c r="T155">
        <v>16</v>
      </c>
      <c r="U155" t="str">
        <f t="shared" si="5"/>
        <v>Katie Robinson:6</v>
      </c>
      <c r="AR155">
        <v>37</v>
      </c>
    </row>
    <row r="156" spans="1:44" x14ac:dyDescent="0.2">
      <c r="A156" t="s">
        <v>290</v>
      </c>
      <c r="B156" t="s">
        <v>638</v>
      </c>
      <c r="C156" t="s">
        <v>639</v>
      </c>
      <c r="D156" t="s">
        <v>26</v>
      </c>
      <c r="E156" t="s">
        <v>65</v>
      </c>
      <c r="F156">
        <v>30</v>
      </c>
      <c r="G156">
        <v>1992</v>
      </c>
      <c r="H156">
        <v>21</v>
      </c>
      <c r="I156">
        <v>20</v>
      </c>
      <c r="J156">
        <v>1790</v>
      </c>
      <c r="K156">
        <v>9</v>
      </c>
      <c r="L156">
        <v>0</v>
      </c>
      <c r="M156">
        <v>7</v>
      </c>
      <c r="N156">
        <v>2</v>
      </c>
      <c r="O156">
        <v>2</v>
      </c>
      <c r="P156">
        <v>0</v>
      </c>
      <c r="Q156">
        <v>0</v>
      </c>
      <c r="R156">
        <f t="shared" si="4"/>
        <v>5.5865921787709498E-5</v>
      </c>
      <c r="S156" t="s">
        <v>21</v>
      </c>
      <c r="T156">
        <v>23</v>
      </c>
      <c r="U156" t="str">
        <f t="shared" si="5"/>
        <v>Katie Stengel:0</v>
      </c>
      <c r="AR156">
        <v>16</v>
      </c>
    </row>
    <row r="157" spans="1:44" x14ac:dyDescent="0.2">
      <c r="A157" t="s">
        <v>335</v>
      </c>
      <c r="B157" t="s">
        <v>606</v>
      </c>
      <c r="C157" t="s">
        <v>607</v>
      </c>
      <c r="D157" t="s">
        <v>34</v>
      </c>
      <c r="E157" t="s">
        <v>52</v>
      </c>
      <c r="F157">
        <v>26</v>
      </c>
      <c r="G157">
        <v>1996</v>
      </c>
      <c r="H157">
        <v>21</v>
      </c>
      <c r="I157">
        <v>21</v>
      </c>
      <c r="J157">
        <v>1890</v>
      </c>
      <c r="K157">
        <v>3</v>
      </c>
      <c r="L157">
        <v>8</v>
      </c>
      <c r="M157">
        <v>1</v>
      </c>
      <c r="N157">
        <v>2</v>
      </c>
      <c r="O157">
        <v>3</v>
      </c>
      <c r="P157">
        <v>7</v>
      </c>
      <c r="Q157">
        <v>0</v>
      </c>
      <c r="R157">
        <f t="shared" si="4"/>
        <v>1.7636684303350968E-5</v>
      </c>
      <c r="S157" t="s">
        <v>21</v>
      </c>
      <c r="T157">
        <v>56</v>
      </c>
      <c r="U157" t="str">
        <f t="shared" si="5"/>
        <v>Katie Zelem:8</v>
      </c>
      <c r="AR157">
        <v>16</v>
      </c>
    </row>
    <row r="158" spans="1:44" x14ac:dyDescent="0.2">
      <c r="A158" t="s">
        <v>283</v>
      </c>
      <c r="B158" t="s">
        <v>626</v>
      </c>
      <c r="C158" t="s">
        <v>627</v>
      </c>
      <c r="D158" t="s">
        <v>26</v>
      </c>
      <c r="E158" t="s">
        <v>55</v>
      </c>
      <c r="F158">
        <v>25</v>
      </c>
      <c r="G158">
        <v>1996</v>
      </c>
      <c r="H158">
        <v>21</v>
      </c>
      <c r="I158">
        <v>20</v>
      </c>
      <c r="J158">
        <v>1661</v>
      </c>
      <c r="K158">
        <v>7</v>
      </c>
      <c r="L158">
        <v>0</v>
      </c>
      <c r="M158">
        <v>6</v>
      </c>
      <c r="N158">
        <v>1</v>
      </c>
      <c r="O158">
        <v>1</v>
      </c>
      <c r="P158">
        <v>0</v>
      </c>
      <c r="Q158">
        <v>0</v>
      </c>
      <c r="R158">
        <f t="shared" si="4"/>
        <v>4.6825874640444177E-5</v>
      </c>
      <c r="S158" t="s">
        <v>21</v>
      </c>
      <c r="T158">
        <v>30</v>
      </c>
      <c r="U158" t="str">
        <f t="shared" si="5"/>
        <v>Katja Snoeijs:0</v>
      </c>
      <c r="AR158">
        <v>16</v>
      </c>
    </row>
    <row r="159" spans="1:44" x14ac:dyDescent="0.2">
      <c r="A159" t="s">
        <v>315</v>
      </c>
      <c r="B159" t="s">
        <v>620</v>
      </c>
      <c r="C159" t="s">
        <v>621</v>
      </c>
      <c r="D159" t="s">
        <v>50</v>
      </c>
      <c r="E159" t="s">
        <v>55</v>
      </c>
      <c r="F159">
        <v>31</v>
      </c>
      <c r="G159">
        <v>1991</v>
      </c>
      <c r="H159">
        <v>14</v>
      </c>
      <c r="I159">
        <v>13</v>
      </c>
      <c r="J159">
        <v>1011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f t="shared" si="4"/>
        <v>0</v>
      </c>
      <c r="S159" t="s">
        <v>21</v>
      </c>
      <c r="T159">
        <v>30</v>
      </c>
      <c r="U159" t="str">
        <f t="shared" si="5"/>
        <v>Katrine Veje:0</v>
      </c>
      <c r="AR159">
        <v>47</v>
      </c>
    </row>
    <row r="160" spans="1:44" x14ac:dyDescent="0.2">
      <c r="A160" t="s">
        <v>142</v>
      </c>
      <c r="B160" t="s">
        <v>624</v>
      </c>
      <c r="C160" t="s">
        <v>625</v>
      </c>
      <c r="D160" t="s">
        <v>19</v>
      </c>
      <c r="E160" t="s">
        <v>48</v>
      </c>
      <c r="F160">
        <v>34</v>
      </c>
      <c r="G160">
        <v>1988</v>
      </c>
      <c r="H160">
        <v>18</v>
      </c>
      <c r="I160">
        <v>13</v>
      </c>
      <c r="J160">
        <v>1131</v>
      </c>
      <c r="K160">
        <v>1</v>
      </c>
      <c r="L160">
        <v>2</v>
      </c>
      <c r="M160">
        <v>1</v>
      </c>
      <c r="N160">
        <v>0</v>
      </c>
      <c r="O160">
        <v>0</v>
      </c>
      <c r="P160">
        <v>3</v>
      </c>
      <c r="Q160">
        <v>0</v>
      </c>
      <c r="R160">
        <f t="shared" si="4"/>
        <v>9.8241477551822377E-6</v>
      </c>
      <c r="S160" t="s">
        <v>21</v>
      </c>
      <c r="T160">
        <v>16</v>
      </c>
      <c r="U160" t="str">
        <f t="shared" si="5"/>
        <v>Kayleigh Green:2</v>
      </c>
      <c r="AR160">
        <v>47</v>
      </c>
    </row>
    <row r="161" spans="1:44" x14ac:dyDescent="0.2">
      <c r="A161" t="s">
        <v>121</v>
      </c>
      <c r="B161" t="s">
        <v>606</v>
      </c>
      <c r="C161" t="s">
        <v>607</v>
      </c>
      <c r="D161" t="s">
        <v>23</v>
      </c>
      <c r="E161" t="s">
        <v>24</v>
      </c>
      <c r="F161">
        <v>16</v>
      </c>
      <c r="G161">
        <v>2005</v>
      </c>
      <c r="H161">
        <v>3</v>
      </c>
      <c r="I161">
        <v>0</v>
      </c>
      <c r="J161">
        <v>30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f t="shared" si="4"/>
        <v>0</v>
      </c>
      <c r="S161" t="s">
        <v>21</v>
      </c>
      <c r="T161">
        <v>21</v>
      </c>
      <c r="U161" t="str">
        <f t="shared" si="5"/>
        <v>Keira Flannery:0</v>
      </c>
      <c r="AR161">
        <v>11</v>
      </c>
    </row>
    <row r="162" spans="1:44" x14ac:dyDescent="0.2">
      <c r="A162" t="s">
        <v>103</v>
      </c>
      <c r="B162" t="s">
        <v>610</v>
      </c>
      <c r="C162" t="s">
        <v>611</v>
      </c>
      <c r="D162" t="s">
        <v>34</v>
      </c>
      <c r="E162" t="s">
        <v>37</v>
      </c>
      <c r="F162">
        <v>31</v>
      </c>
      <c r="G162">
        <v>1991</v>
      </c>
      <c r="H162">
        <v>21</v>
      </c>
      <c r="I162">
        <v>21</v>
      </c>
      <c r="J162">
        <v>1805</v>
      </c>
      <c r="K162">
        <v>5</v>
      </c>
      <c r="L162">
        <v>8</v>
      </c>
      <c r="M162">
        <v>5</v>
      </c>
      <c r="N162">
        <v>0</v>
      </c>
      <c r="O162">
        <v>0</v>
      </c>
      <c r="P162">
        <v>0</v>
      </c>
      <c r="Q162">
        <v>0</v>
      </c>
      <c r="R162">
        <f t="shared" si="4"/>
        <v>3.0778701138811942E-5</v>
      </c>
      <c r="S162" t="s">
        <v>21</v>
      </c>
      <c r="T162">
        <v>37</v>
      </c>
      <c r="U162" t="str">
        <f t="shared" si="5"/>
        <v>Kenza Dali:8</v>
      </c>
      <c r="AR162">
        <v>58</v>
      </c>
    </row>
    <row r="163" spans="1:44" x14ac:dyDescent="0.2">
      <c r="A163" t="s">
        <v>322</v>
      </c>
      <c r="B163" t="s">
        <v>652</v>
      </c>
      <c r="C163" t="s">
        <v>653</v>
      </c>
      <c r="D163" t="s">
        <v>34</v>
      </c>
      <c r="E163" t="s">
        <v>55</v>
      </c>
      <c r="F163">
        <v>18</v>
      </c>
      <c r="G163">
        <v>2004</v>
      </c>
      <c r="H163">
        <v>1</v>
      </c>
      <c r="I163">
        <v>0</v>
      </c>
      <c r="J163">
        <v>4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f t="shared" si="4"/>
        <v>0</v>
      </c>
      <c r="S163" t="s">
        <v>21</v>
      </c>
      <c r="T163">
        <v>30</v>
      </c>
      <c r="U163" t="str">
        <f t="shared" si="5"/>
        <v>Kenzie Weir:0</v>
      </c>
      <c r="AR163">
        <v>30</v>
      </c>
    </row>
    <row r="164" spans="1:44" x14ac:dyDescent="0.2">
      <c r="A164" t="s">
        <v>85</v>
      </c>
      <c r="B164" t="s">
        <v>626</v>
      </c>
      <c r="C164" t="s">
        <v>627</v>
      </c>
      <c r="D164" t="s">
        <v>50</v>
      </c>
      <c r="E164" t="s">
        <v>32</v>
      </c>
      <c r="F164">
        <v>21</v>
      </c>
      <c r="G164">
        <v>2000</v>
      </c>
      <c r="H164">
        <v>17</v>
      </c>
      <c r="I164">
        <v>13</v>
      </c>
      <c r="J164">
        <v>1162</v>
      </c>
      <c r="K164">
        <v>0</v>
      </c>
      <c r="L164">
        <v>3</v>
      </c>
      <c r="M164">
        <v>0</v>
      </c>
      <c r="N164">
        <v>0</v>
      </c>
      <c r="O164">
        <v>0</v>
      </c>
      <c r="P164">
        <v>0</v>
      </c>
      <c r="Q164">
        <v>0</v>
      </c>
      <c r="R164">
        <f t="shared" si="4"/>
        <v>0</v>
      </c>
      <c r="S164" t="s">
        <v>21</v>
      </c>
      <c r="T164">
        <v>47</v>
      </c>
      <c r="U164" t="str">
        <f t="shared" si="5"/>
        <v>Kerstin Casparij:3</v>
      </c>
      <c r="AR164">
        <v>21</v>
      </c>
    </row>
    <row r="165" spans="1:44" x14ac:dyDescent="0.2">
      <c r="A165" t="s">
        <v>151</v>
      </c>
      <c r="B165" t="s">
        <v>606</v>
      </c>
      <c r="C165" t="s">
        <v>607</v>
      </c>
      <c r="D165" t="s">
        <v>29</v>
      </c>
      <c r="E165" t="s">
        <v>30</v>
      </c>
      <c r="F165">
        <v>31</v>
      </c>
      <c r="G165">
        <v>1990</v>
      </c>
      <c r="H165">
        <v>15</v>
      </c>
      <c r="I165">
        <v>12</v>
      </c>
      <c r="J165">
        <v>1181</v>
      </c>
      <c r="K165">
        <v>0</v>
      </c>
      <c r="L165">
        <v>1</v>
      </c>
      <c r="M165">
        <v>0</v>
      </c>
      <c r="N165">
        <v>0</v>
      </c>
      <c r="O165">
        <v>0</v>
      </c>
      <c r="P165">
        <v>2</v>
      </c>
      <c r="Q165">
        <v>0</v>
      </c>
      <c r="R165">
        <f t="shared" si="4"/>
        <v>0</v>
      </c>
      <c r="S165" t="s">
        <v>21</v>
      </c>
      <c r="T165">
        <v>18</v>
      </c>
      <c r="U165" t="str">
        <f t="shared" si="5"/>
        <v>Kerys Harrop:1</v>
      </c>
      <c r="AR165">
        <v>58</v>
      </c>
    </row>
    <row r="166" spans="1:44" x14ac:dyDescent="0.2">
      <c r="A166" t="s">
        <v>273</v>
      </c>
      <c r="B166" t="s">
        <v>650</v>
      </c>
      <c r="C166" t="s">
        <v>651</v>
      </c>
      <c r="D166" t="s">
        <v>26</v>
      </c>
      <c r="E166" t="s">
        <v>32</v>
      </c>
      <c r="F166">
        <v>25</v>
      </c>
      <c r="G166">
        <v>1997</v>
      </c>
      <c r="H166">
        <v>22</v>
      </c>
      <c r="I166">
        <v>22</v>
      </c>
      <c r="J166">
        <v>1898</v>
      </c>
      <c r="K166">
        <v>20</v>
      </c>
      <c r="L166">
        <v>7</v>
      </c>
      <c r="M166">
        <v>19</v>
      </c>
      <c r="N166">
        <v>1</v>
      </c>
      <c r="O166">
        <v>1</v>
      </c>
      <c r="P166">
        <v>0</v>
      </c>
      <c r="Q166">
        <v>0</v>
      </c>
      <c r="R166">
        <f t="shared" si="4"/>
        <v>1.1708230886313078E-4</v>
      </c>
      <c r="S166" t="s">
        <v>21</v>
      </c>
      <c r="T166">
        <v>47</v>
      </c>
      <c r="U166" t="str">
        <f t="shared" si="5"/>
        <v>Khadija Shaw:7</v>
      </c>
      <c r="AR166">
        <v>47</v>
      </c>
    </row>
    <row r="167" spans="1:44" x14ac:dyDescent="0.2">
      <c r="A167" t="s">
        <v>175</v>
      </c>
      <c r="B167" t="s">
        <v>606</v>
      </c>
      <c r="C167" t="s">
        <v>607</v>
      </c>
      <c r="D167" t="s">
        <v>40</v>
      </c>
      <c r="E167" t="s">
        <v>32</v>
      </c>
      <c r="F167">
        <v>18</v>
      </c>
      <c r="G167">
        <v>2004</v>
      </c>
      <c r="H167">
        <v>3</v>
      </c>
      <c r="I167">
        <v>2</v>
      </c>
      <c r="J167">
        <v>227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f t="shared" si="4"/>
        <v>0</v>
      </c>
      <c r="S167" t="s">
        <v>21</v>
      </c>
      <c r="T167">
        <v>47</v>
      </c>
      <c r="U167" t="str">
        <f t="shared" si="5"/>
        <v>Khiara Keating:0</v>
      </c>
      <c r="AR167">
        <v>47</v>
      </c>
    </row>
    <row r="168" spans="1:44" x14ac:dyDescent="0.2">
      <c r="A168" t="s">
        <v>199</v>
      </c>
      <c r="B168" t="s">
        <v>652</v>
      </c>
      <c r="C168" t="s">
        <v>653</v>
      </c>
      <c r="D168" t="s">
        <v>34</v>
      </c>
      <c r="E168" t="s">
        <v>27</v>
      </c>
      <c r="F168">
        <v>32</v>
      </c>
      <c r="G168">
        <v>1990</v>
      </c>
      <c r="H168">
        <v>11</v>
      </c>
      <c r="I168">
        <v>11</v>
      </c>
      <c r="J168">
        <v>934</v>
      </c>
      <c r="K168">
        <v>4</v>
      </c>
      <c r="L168">
        <v>2</v>
      </c>
      <c r="M168">
        <v>1</v>
      </c>
      <c r="N168">
        <v>3</v>
      </c>
      <c r="O168">
        <v>4</v>
      </c>
      <c r="P168">
        <v>0</v>
      </c>
      <c r="Q168">
        <v>0</v>
      </c>
      <c r="R168">
        <f t="shared" si="4"/>
        <v>4.7585058291696407E-5</v>
      </c>
      <c r="S168" t="s">
        <v>21</v>
      </c>
      <c r="T168">
        <v>47</v>
      </c>
      <c r="U168" t="str">
        <f t="shared" si="5"/>
        <v>Kim Little:2</v>
      </c>
      <c r="AR168">
        <v>16</v>
      </c>
    </row>
    <row r="169" spans="1:44" x14ac:dyDescent="0.2">
      <c r="A169" t="s">
        <v>198</v>
      </c>
      <c r="B169" t="s">
        <v>606</v>
      </c>
      <c r="C169" t="s">
        <v>607</v>
      </c>
      <c r="D169" t="s">
        <v>40</v>
      </c>
      <c r="E169" t="s">
        <v>46</v>
      </c>
      <c r="F169">
        <v>25</v>
      </c>
      <c r="G169">
        <v>1997</v>
      </c>
      <c r="H169">
        <v>7</v>
      </c>
      <c r="I169">
        <v>7</v>
      </c>
      <c r="J169">
        <v>630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f t="shared" si="4"/>
        <v>0</v>
      </c>
      <c r="S169" t="s">
        <v>21</v>
      </c>
      <c r="T169">
        <v>16</v>
      </c>
      <c r="U169" t="str">
        <f t="shared" si="5"/>
        <v>Kirstie Levell:0</v>
      </c>
      <c r="AR169">
        <v>23</v>
      </c>
    </row>
    <row r="170" spans="1:44" x14ac:dyDescent="0.2">
      <c r="A170" t="s">
        <v>147</v>
      </c>
      <c r="B170" t="s">
        <v>652</v>
      </c>
      <c r="C170" t="s">
        <v>653</v>
      </c>
      <c r="D170" t="s">
        <v>42</v>
      </c>
      <c r="E170" t="s">
        <v>37</v>
      </c>
      <c r="F170">
        <v>24</v>
      </c>
      <c r="G170">
        <v>1998</v>
      </c>
      <c r="H170">
        <v>20</v>
      </c>
      <c r="I170">
        <v>20</v>
      </c>
      <c r="J170">
        <v>1677</v>
      </c>
      <c r="K170">
        <v>7</v>
      </c>
      <c r="L170">
        <v>9</v>
      </c>
      <c r="M170">
        <v>7</v>
      </c>
      <c r="N170">
        <v>0</v>
      </c>
      <c r="O170">
        <v>0</v>
      </c>
      <c r="P170">
        <v>4</v>
      </c>
      <c r="Q170">
        <v>0</v>
      </c>
      <c r="R170">
        <f t="shared" si="4"/>
        <v>4.6379116146558006E-5</v>
      </c>
      <c r="S170" t="s">
        <v>21</v>
      </c>
      <c r="T170">
        <v>37</v>
      </c>
      <c r="U170" t="str">
        <f t="shared" si="5"/>
        <v>Kirsty Hanson:9</v>
      </c>
      <c r="AR170">
        <v>56</v>
      </c>
    </row>
    <row r="171" spans="1:44" x14ac:dyDescent="0.2">
      <c r="A171" t="s">
        <v>280</v>
      </c>
      <c r="B171" t="s">
        <v>652</v>
      </c>
      <c r="C171" t="s">
        <v>653</v>
      </c>
      <c r="D171" t="s">
        <v>50</v>
      </c>
      <c r="E171" t="s">
        <v>24</v>
      </c>
      <c r="F171">
        <v>28</v>
      </c>
      <c r="G171">
        <v>1994</v>
      </c>
      <c r="H171">
        <v>22</v>
      </c>
      <c r="I171">
        <v>19</v>
      </c>
      <c r="J171">
        <v>1670</v>
      </c>
      <c r="K171">
        <v>0</v>
      </c>
      <c r="L171">
        <v>2</v>
      </c>
      <c r="M171">
        <v>0</v>
      </c>
      <c r="N171">
        <v>0</v>
      </c>
      <c r="O171">
        <v>0</v>
      </c>
      <c r="P171">
        <v>0</v>
      </c>
      <c r="Q171">
        <v>0</v>
      </c>
      <c r="R171">
        <f t="shared" si="4"/>
        <v>0</v>
      </c>
      <c r="S171" t="s">
        <v>21</v>
      </c>
      <c r="T171">
        <v>21</v>
      </c>
      <c r="U171" t="str">
        <f t="shared" si="5"/>
        <v>Kirsty Smith:2</v>
      </c>
      <c r="AR171">
        <v>30</v>
      </c>
    </row>
    <row r="172" spans="1:44" x14ac:dyDescent="0.2">
      <c r="A172" t="s">
        <v>139</v>
      </c>
      <c r="B172" t="s">
        <v>606</v>
      </c>
      <c r="C172" t="s">
        <v>607</v>
      </c>
      <c r="D172" t="s">
        <v>42</v>
      </c>
      <c r="E172" t="s">
        <v>30</v>
      </c>
      <c r="F172">
        <v>26</v>
      </c>
      <c r="G172">
        <v>1995</v>
      </c>
      <c r="H172">
        <v>9</v>
      </c>
      <c r="I172">
        <v>2</v>
      </c>
      <c r="J172">
        <v>315</v>
      </c>
      <c r="K172">
        <v>1</v>
      </c>
      <c r="L172">
        <v>1</v>
      </c>
      <c r="M172">
        <v>1</v>
      </c>
      <c r="N172">
        <v>0</v>
      </c>
      <c r="O172">
        <v>0</v>
      </c>
      <c r="P172">
        <v>0</v>
      </c>
      <c r="Q172">
        <v>0</v>
      </c>
      <c r="R172">
        <f t="shared" si="4"/>
        <v>3.5273368606701937E-5</v>
      </c>
      <c r="S172" t="s">
        <v>21</v>
      </c>
      <c r="T172">
        <v>18</v>
      </c>
      <c r="U172" t="str">
        <f t="shared" si="5"/>
        <v>Kit Graham:1</v>
      </c>
      <c r="AR172">
        <v>30</v>
      </c>
    </row>
    <row r="173" spans="1:44" x14ac:dyDescent="0.2">
      <c r="A173" t="s">
        <v>279</v>
      </c>
      <c r="B173" t="s">
        <v>612</v>
      </c>
      <c r="C173" t="s">
        <v>613</v>
      </c>
      <c r="D173" t="s">
        <v>26</v>
      </c>
      <c r="E173" t="s">
        <v>30</v>
      </c>
      <c r="F173">
        <v>31</v>
      </c>
      <c r="G173">
        <v>1991</v>
      </c>
      <c r="H173">
        <v>2</v>
      </c>
      <c r="I173">
        <v>1</v>
      </c>
      <c r="J173">
        <v>93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f t="shared" si="4"/>
        <v>0</v>
      </c>
      <c r="S173" t="s">
        <v>21</v>
      </c>
      <c r="T173">
        <v>18</v>
      </c>
      <c r="U173" t="str">
        <f t="shared" si="5"/>
        <v>Kyah Simon:0</v>
      </c>
      <c r="AR173">
        <v>16</v>
      </c>
    </row>
    <row r="174" spans="1:44" x14ac:dyDescent="0.2">
      <c r="A174" t="s">
        <v>31</v>
      </c>
      <c r="B174" t="s">
        <v>666</v>
      </c>
      <c r="C174" t="s">
        <v>667</v>
      </c>
      <c r="D174" t="s">
        <v>29</v>
      </c>
      <c r="E174" t="s">
        <v>32</v>
      </c>
      <c r="F174">
        <v>21</v>
      </c>
      <c r="G174">
        <v>2000</v>
      </c>
      <c r="H174">
        <v>16</v>
      </c>
      <c r="I174">
        <v>15</v>
      </c>
      <c r="J174">
        <v>1302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1</v>
      </c>
      <c r="Q174">
        <v>0</v>
      </c>
      <c r="R174">
        <f t="shared" si="4"/>
        <v>0</v>
      </c>
      <c r="S174" t="s">
        <v>21</v>
      </c>
      <c r="T174">
        <v>47</v>
      </c>
      <c r="U174" t="str">
        <f t="shared" si="5"/>
        <v>Laia Aleixandri:0</v>
      </c>
      <c r="AR174">
        <v>21</v>
      </c>
    </row>
    <row r="175" spans="1:44" x14ac:dyDescent="0.2">
      <c r="A175" t="s">
        <v>62</v>
      </c>
      <c r="B175" t="s">
        <v>606</v>
      </c>
      <c r="C175" t="s">
        <v>607</v>
      </c>
      <c r="D175" t="s">
        <v>23</v>
      </c>
      <c r="E175" t="s">
        <v>37</v>
      </c>
      <c r="F175">
        <v>18</v>
      </c>
      <c r="G175">
        <v>2003</v>
      </c>
      <c r="H175">
        <v>21</v>
      </c>
      <c r="I175">
        <v>16</v>
      </c>
      <c r="J175">
        <v>1335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2</v>
      </c>
      <c r="Q175">
        <v>0</v>
      </c>
      <c r="R175">
        <f t="shared" si="4"/>
        <v>0</v>
      </c>
      <c r="S175" t="s">
        <v>21</v>
      </c>
      <c r="T175">
        <v>37</v>
      </c>
      <c r="U175" t="str">
        <f t="shared" si="5"/>
        <v>Laura Blindkilde:0</v>
      </c>
      <c r="AR175">
        <v>37</v>
      </c>
    </row>
    <row r="176" spans="1:44" x14ac:dyDescent="0.2">
      <c r="A176" t="s">
        <v>96</v>
      </c>
      <c r="B176" t="s">
        <v>606</v>
      </c>
      <c r="C176" t="s">
        <v>607</v>
      </c>
      <c r="D176" t="s">
        <v>34</v>
      </c>
      <c r="E176" t="s">
        <v>32</v>
      </c>
      <c r="F176">
        <v>31</v>
      </c>
      <c r="G176">
        <v>1991</v>
      </c>
      <c r="H176">
        <v>22</v>
      </c>
      <c r="I176">
        <v>20</v>
      </c>
      <c r="J176">
        <v>1685</v>
      </c>
      <c r="K176">
        <v>5</v>
      </c>
      <c r="L176">
        <v>4</v>
      </c>
      <c r="M176">
        <v>5</v>
      </c>
      <c r="N176">
        <v>0</v>
      </c>
      <c r="O176">
        <v>0</v>
      </c>
      <c r="P176">
        <v>0</v>
      </c>
      <c r="Q176">
        <v>0</v>
      </c>
      <c r="R176">
        <f t="shared" si="4"/>
        <v>3.2970656116056713E-5</v>
      </c>
      <c r="S176" t="s">
        <v>21</v>
      </c>
      <c r="T176">
        <v>47</v>
      </c>
      <c r="U176" t="str">
        <f t="shared" si="5"/>
        <v>Laura Coombs:4</v>
      </c>
      <c r="AR176">
        <v>30</v>
      </c>
    </row>
    <row r="177" spans="1:44" x14ac:dyDescent="0.2">
      <c r="A177" t="s">
        <v>326</v>
      </c>
      <c r="B177" t="s">
        <v>668</v>
      </c>
      <c r="C177" t="s">
        <v>669</v>
      </c>
      <c r="D177" t="s">
        <v>50</v>
      </c>
      <c r="E177" t="s">
        <v>27</v>
      </c>
      <c r="F177">
        <v>23</v>
      </c>
      <c r="G177">
        <v>1999</v>
      </c>
      <c r="H177">
        <v>17</v>
      </c>
      <c r="I177">
        <v>11</v>
      </c>
      <c r="J177">
        <v>972</v>
      </c>
      <c r="K177">
        <v>1</v>
      </c>
      <c r="L177">
        <v>0</v>
      </c>
      <c r="M177">
        <v>1</v>
      </c>
      <c r="N177">
        <v>0</v>
      </c>
      <c r="O177">
        <v>0</v>
      </c>
      <c r="P177">
        <v>0</v>
      </c>
      <c r="Q177">
        <v>0</v>
      </c>
      <c r="R177">
        <f t="shared" si="4"/>
        <v>1.1431184270690445E-5</v>
      </c>
      <c r="S177" t="s">
        <v>21</v>
      </c>
      <c r="T177">
        <v>47</v>
      </c>
      <c r="U177" t="str">
        <f t="shared" si="5"/>
        <v>Laura Wienroither:0</v>
      </c>
      <c r="AR177">
        <v>47</v>
      </c>
    </row>
    <row r="178" spans="1:44" x14ac:dyDescent="0.2">
      <c r="A178" t="s">
        <v>154</v>
      </c>
      <c r="B178" t="s">
        <v>606</v>
      </c>
      <c r="C178" t="s">
        <v>607</v>
      </c>
      <c r="D178" t="s">
        <v>26</v>
      </c>
      <c r="E178" t="s">
        <v>32</v>
      </c>
      <c r="F178">
        <v>21</v>
      </c>
      <c r="G178">
        <v>2000</v>
      </c>
      <c r="H178">
        <v>20</v>
      </c>
      <c r="I178">
        <v>20</v>
      </c>
      <c r="J178">
        <v>1674</v>
      </c>
      <c r="K178">
        <v>7</v>
      </c>
      <c r="L178">
        <v>6</v>
      </c>
      <c r="M178">
        <v>7</v>
      </c>
      <c r="N178">
        <v>0</v>
      </c>
      <c r="O178">
        <v>0</v>
      </c>
      <c r="P178">
        <v>2</v>
      </c>
      <c r="Q178">
        <v>0</v>
      </c>
      <c r="R178">
        <f t="shared" si="4"/>
        <v>4.6462232842161157E-5</v>
      </c>
      <c r="S178" t="s">
        <v>21</v>
      </c>
      <c r="T178">
        <v>47</v>
      </c>
      <c r="U178" t="str">
        <f t="shared" si="5"/>
        <v>Lauren Hemp:6</v>
      </c>
      <c r="AR178">
        <v>18</v>
      </c>
    </row>
    <row r="179" spans="1:44" x14ac:dyDescent="0.2">
      <c r="A179" t="s">
        <v>170</v>
      </c>
      <c r="B179" t="s">
        <v>606</v>
      </c>
      <c r="C179" t="s">
        <v>607</v>
      </c>
      <c r="D179" t="s">
        <v>26</v>
      </c>
      <c r="E179" t="s">
        <v>20</v>
      </c>
      <c r="F179">
        <v>20</v>
      </c>
      <c r="G179">
        <v>2001</v>
      </c>
      <c r="H179">
        <v>18</v>
      </c>
      <c r="I179">
        <v>15</v>
      </c>
      <c r="J179">
        <v>1196</v>
      </c>
      <c r="K179">
        <v>5</v>
      </c>
      <c r="L179">
        <v>2</v>
      </c>
      <c r="M179">
        <v>5</v>
      </c>
      <c r="N179">
        <v>0</v>
      </c>
      <c r="O179">
        <v>1</v>
      </c>
      <c r="P179">
        <v>1</v>
      </c>
      <c r="Q179">
        <v>0</v>
      </c>
      <c r="R179">
        <f t="shared" si="4"/>
        <v>4.6451133407655141E-5</v>
      </c>
      <c r="S179" t="s">
        <v>21</v>
      </c>
      <c r="T179">
        <v>58</v>
      </c>
      <c r="U179" t="str">
        <f t="shared" si="5"/>
        <v>Lauren James:2</v>
      </c>
      <c r="AR179">
        <v>47</v>
      </c>
    </row>
    <row r="180" spans="1:44" x14ac:dyDescent="0.2">
      <c r="A180" t="s">
        <v>317</v>
      </c>
      <c r="B180" t="s">
        <v>646</v>
      </c>
      <c r="C180" t="s">
        <v>647</v>
      </c>
      <c r="D180" t="s">
        <v>42</v>
      </c>
      <c r="E180" t="s">
        <v>35</v>
      </c>
      <c r="F180">
        <v>28</v>
      </c>
      <c r="G180">
        <v>1993</v>
      </c>
      <c r="H180">
        <v>15</v>
      </c>
      <c r="I180">
        <v>6</v>
      </c>
      <c r="J180">
        <v>604</v>
      </c>
      <c r="K180">
        <v>1</v>
      </c>
      <c r="L180">
        <v>0</v>
      </c>
      <c r="M180">
        <v>1</v>
      </c>
      <c r="N180">
        <v>0</v>
      </c>
      <c r="O180">
        <v>0</v>
      </c>
      <c r="P180">
        <v>0</v>
      </c>
      <c r="Q180">
        <v>0</v>
      </c>
      <c r="R180">
        <f t="shared" si="4"/>
        <v>1.8395879323031641E-5</v>
      </c>
      <c r="S180" t="s">
        <v>21</v>
      </c>
      <c r="T180">
        <v>11</v>
      </c>
      <c r="U180" t="str">
        <f t="shared" si="5"/>
        <v>Lauren Wade:0</v>
      </c>
      <c r="AR180">
        <v>47</v>
      </c>
    </row>
    <row r="181" spans="1:44" x14ac:dyDescent="0.2">
      <c r="A181" t="s">
        <v>129</v>
      </c>
      <c r="B181" t="s">
        <v>606</v>
      </c>
      <c r="C181" t="s">
        <v>607</v>
      </c>
      <c r="D181" t="s">
        <v>42</v>
      </c>
      <c r="E181" t="s">
        <v>52</v>
      </c>
      <c r="F181">
        <v>28</v>
      </c>
      <c r="G181">
        <v>1994</v>
      </c>
      <c r="H181">
        <v>20</v>
      </c>
      <c r="I181">
        <v>20</v>
      </c>
      <c r="J181">
        <v>1628</v>
      </c>
      <c r="K181">
        <v>10</v>
      </c>
      <c r="L181">
        <v>4</v>
      </c>
      <c r="M181">
        <v>10</v>
      </c>
      <c r="N181">
        <v>0</v>
      </c>
      <c r="O181">
        <v>0</v>
      </c>
      <c r="P181">
        <v>0</v>
      </c>
      <c r="Q181">
        <v>0</v>
      </c>
      <c r="R181">
        <f t="shared" si="4"/>
        <v>6.8250068250068241E-5</v>
      </c>
      <c r="S181" t="s">
        <v>21</v>
      </c>
      <c r="T181">
        <v>56</v>
      </c>
      <c r="U181" t="str">
        <f t="shared" si="5"/>
        <v>Leah Galton:4</v>
      </c>
      <c r="AR181">
        <v>47</v>
      </c>
    </row>
    <row r="182" spans="1:44" x14ac:dyDescent="0.2">
      <c r="A182" t="s">
        <v>330</v>
      </c>
      <c r="B182" t="s">
        <v>606</v>
      </c>
      <c r="C182" t="s">
        <v>607</v>
      </c>
      <c r="D182" t="s">
        <v>29</v>
      </c>
      <c r="E182" t="s">
        <v>27</v>
      </c>
      <c r="F182">
        <v>25</v>
      </c>
      <c r="G182">
        <v>1997</v>
      </c>
      <c r="H182">
        <v>12</v>
      </c>
      <c r="I182">
        <v>10</v>
      </c>
      <c r="J182">
        <v>820</v>
      </c>
      <c r="K182">
        <v>1</v>
      </c>
      <c r="L182">
        <v>1</v>
      </c>
      <c r="M182">
        <v>1</v>
      </c>
      <c r="N182">
        <v>0</v>
      </c>
      <c r="O182">
        <v>0</v>
      </c>
      <c r="P182">
        <v>0</v>
      </c>
      <c r="Q182">
        <v>0</v>
      </c>
      <c r="R182">
        <f t="shared" si="4"/>
        <v>1.3550135501355014E-5</v>
      </c>
      <c r="S182" t="s">
        <v>21</v>
      </c>
      <c r="T182">
        <v>47</v>
      </c>
      <c r="U182" t="str">
        <f t="shared" si="5"/>
        <v>Leah Williamson:1</v>
      </c>
      <c r="AR182">
        <v>16</v>
      </c>
    </row>
    <row r="183" spans="1:44" x14ac:dyDescent="0.2">
      <c r="A183" t="s">
        <v>180</v>
      </c>
      <c r="B183" t="s">
        <v>632</v>
      </c>
      <c r="C183" t="s">
        <v>633</v>
      </c>
      <c r="D183" t="s">
        <v>26</v>
      </c>
      <c r="E183" t="s">
        <v>65</v>
      </c>
      <c r="F183">
        <v>23</v>
      </c>
      <c r="G183">
        <v>1999</v>
      </c>
      <c r="H183">
        <v>2</v>
      </c>
      <c r="I183">
        <v>1</v>
      </c>
      <c r="J183">
        <v>89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f t="shared" si="4"/>
        <v>0</v>
      </c>
      <c r="S183" t="s">
        <v>21</v>
      </c>
      <c r="T183">
        <v>23</v>
      </c>
      <c r="U183" t="str">
        <f t="shared" si="5"/>
        <v>Leanne Kiernan:0</v>
      </c>
      <c r="AR183">
        <v>37</v>
      </c>
    </row>
    <row r="184" spans="1:44" x14ac:dyDescent="0.2">
      <c r="A184" t="s">
        <v>132</v>
      </c>
      <c r="B184" t="s">
        <v>640</v>
      </c>
      <c r="C184" t="s">
        <v>641</v>
      </c>
      <c r="D184" t="s">
        <v>42</v>
      </c>
      <c r="E184" t="s">
        <v>48</v>
      </c>
      <c r="F184">
        <v>28</v>
      </c>
      <c r="G184">
        <v>1994</v>
      </c>
      <c r="H184">
        <v>22</v>
      </c>
      <c r="I184">
        <v>20</v>
      </c>
      <c r="J184">
        <v>1687</v>
      </c>
      <c r="K184">
        <v>3</v>
      </c>
      <c r="L184">
        <v>2</v>
      </c>
      <c r="M184">
        <v>3</v>
      </c>
      <c r="N184">
        <v>0</v>
      </c>
      <c r="O184">
        <v>0</v>
      </c>
      <c r="P184">
        <v>2</v>
      </c>
      <c r="Q184">
        <v>0</v>
      </c>
      <c r="R184">
        <f t="shared" si="4"/>
        <v>1.9758940920766648E-5</v>
      </c>
      <c r="S184" t="s">
        <v>21</v>
      </c>
      <c r="T184">
        <v>16</v>
      </c>
      <c r="U184" t="str">
        <f t="shared" si="5"/>
        <v>Lee Geum-min:2</v>
      </c>
      <c r="AR184">
        <v>21</v>
      </c>
    </row>
    <row r="185" spans="1:44" x14ac:dyDescent="0.2">
      <c r="A185" t="s">
        <v>260</v>
      </c>
      <c r="B185" t="s">
        <v>606</v>
      </c>
      <c r="C185" t="s">
        <v>607</v>
      </c>
      <c r="D185" t="s">
        <v>50</v>
      </c>
      <c r="E185" t="s">
        <v>65</v>
      </c>
      <c r="F185">
        <v>28</v>
      </c>
      <c r="G185">
        <v>1993</v>
      </c>
      <c r="H185">
        <v>11</v>
      </c>
      <c r="I185">
        <v>6</v>
      </c>
      <c r="J185">
        <v>547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f t="shared" si="4"/>
        <v>0</v>
      </c>
      <c r="S185" t="s">
        <v>21</v>
      </c>
      <c r="T185">
        <v>23</v>
      </c>
      <c r="U185" t="str">
        <f t="shared" si="5"/>
        <v>Leigh-Anne Robe:0</v>
      </c>
      <c r="AR185">
        <v>18</v>
      </c>
    </row>
    <row r="186" spans="1:44" x14ac:dyDescent="0.2">
      <c r="A186" t="s">
        <v>233</v>
      </c>
      <c r="B186" t="s">
        <v>666</v>
      </c>
      <c r="C186" t="s">
        <v>667</v>
      </c>
      <c r="D186" t="s">
        <v>50</v>
      </c>
      <c r="E186" t="s">
        <v>32</v>
      </c>
      <c r="F186">
        <v>29</v>
      </c>
      <c r="G186">
        <v>1993</v>
      </c>
      <c r="H186">
        <v>16</v>
      </c>
      <c r="I186">
        <v>10</v>
      </c>
      <c r="J186">
        <v>888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3</v>
      </c>
      <c r="Q186">
        <v>0</v>
      </c>
      <c r="R186">
        <f t="shared" si="4"/>
        <v>0</v>
      </c>
      <c r="S186" t="s">
        <v>21</v>
      </c>
      <c r="T186">
        <v>47</v>
      </c>
      <c r="U186" t="str">
        <f t="shared" si="5"/>
        <v>Leila Ouahabi:0</v>
      </c>
      <c r="AR186">
        <v>18</v>
      </c>
    </row>
    <row r="187" spans="1:44" x14ac:dyDescent="0.2">
      <c r="A187" t="s">
        <v>145</v>
      </c>
      <c r="B187" t="s">
        <v>606</v>
      </c>
      <c r="C187" t="s">
        <v>607</v>
      </c>
      <c r="D187" t="s">
        <v>26</v>
      </c>
      <c r="E187" t="s">
        <v>30</v>
      </c>
      <c r="F187">
        <v>17</v>
      </c>
      <c r="G187">
        <v>2005</v>
      </c>
      <c r="H187">
        <v>1</v>
      </c>
      <c r="I187">
        <v>0</v>
      </c>
      <c r="J187">
        <v>1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f t="shared" si="4"/>
        <v>0</v>
      </c>
      <c r="S187" t="s">
        <v>21</v>
      </c>
      <c r="T187">
        <v>18</v>
      </c>
      <c r="U187" t="str">
        <f t="shared" si="5"/>
        <v>Lenna Gunning-Williams:0</v>
      </c>
      <c r="AR187">
        <v>47</v>
      </c>
    </row>
    <row r="188" spans="1:44" x14ac:dyDescent="0.2">
      <c r="A188" t="s">
        <v>207</v>
      </c>
      <c r="B188" t="s">
        <v>630</v>
      </c>
      <c r="C188" t="s">
        <v>631</v>
      </c>
      <c r="D188" t="s">
        <v>19</v>
      </c>
      <c r="E188" t="s">
        <v>55</v>
      </c>
      <c r="F188">
        <v>29</v>
      </c>
      <c r="G188">
        <v>1992</v>
      </c>
      <c r="H188">
        <v>9</v>
      </c>
      <c r="I188">
        <v>0</v>
      </c>
      <c r="J188">
        <v>83</v>
      </c>
      <c r="K188">
        <v>1</v>
      </c>
      <c r="L188">
        <v>0</v>
      </c>
      <c r="M188">
        <v>1</v>
      </c>
      <c r="N188">
        <v>0</v>
      </c>
      <c r="O188">
        <v>0</v>
      </c>
      <c r="P188">
        <v>0</v>
      </c>
      <c r="Q188">
        <v>0</v>
      </c>
      <c r="R188">
        <f t="shared" si="4"/>
        <v>1.3386880856760375E-4</v>
      </c>
      <c r="S188" t="s">
        <v>21</v>
      </c>
      <c r="T188">
        <v>30</v>
      </c>
      <c r="U188" t="str">
        <f t="shared" si="5"/>
        <v>Leonie Maier:0</v>
      </c>
      <c r="AR188">
        <v>37</v>
      </c>
    </row>
    <row r="189" spans="1:44" x14ac:dyDescent="0.2">
      <c r="A189" t="s">
        <v>320</v>
      </c>
      <c r="B189" t="s">
        <v>614</v>
      </c>
      <c r="C189" t="s">
        <v>615</v>
      </c>
      <c r="D189" t="s">
        <v>34</v>
      </c>
      <c r="E189" t="s">
        <v>27</v>
      </c>
      <c r="F189">
        <v>29</v>
      </c>
      <c r="G189">
        <v>1993</v>
      </c>
      <c r="H189">
        <v>18</v>
      </c>
      <c r="I189">
        <v>17</v>
      </c>
      <c r="J189">
        <v>1413</v>
      </c>
      <c r="K189">
        <v>1</v>
      </c>
      <c r="L189">
        <v>0</v>
      </c>
      <c r="M189">
        <v>1</v>
      </c>
      <c r="N189">
        <v>0</v>
      </c>
      <c r="O189">
        <v>0</v>
      </c>
      <c r="P189">
        <v>1</v>
      </c>
      <c r="Q189">
        <v>0</v>
      </c>
      <c r="R189">
        <f t="shared" si="4"/>
        <v>7.8634898167806879E-6</v>
      </c>
      <c r="S189" t="s">
        <v>21</v>
      </c>
      <c r="T189">
        <v>47</v>
      </c>
      <c r="U189" t="str">
        <f t="shared" si="5"/>
        <v>Lia Wälti:0</v>
      </c>
      <c r="AR189">
        <v>37</v>
      </c>
    </row>
    <row r="190" spans="1:44" x14ac:dyDescent="0.2">
      <c r="A190" t="s">
        <v>47</v>
      </c>
      <c r="B190" t="s">
        <v>606</v>
      </c>
      <c r="C190" t="s">
        <v>607</v>
      </c>
      <c r="D190" t="s">
        <v>34</v>
      </c>
      <c r="E190" t="s">
        <v>48</v>
      </c>
      <c r="F190">
        <v>19</v>
      </c>
      <c r="G190">
        <v>2003</v>
      </c>
      <c r="H190">
        <v>17</v>
      </c>
      <c r="I190">
        <v>8</v>
      </c>
      <c r="J190">
        <v>691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f t="shared" si="4"/>
        <v>0</v>
      </c>
      <c r="S190" t="s">
        <v>21</v>
      </c>
      <c r="T190">
        <v>16</v>
      </c>
      <c r="U190" t="str">
        <f t="shared" si="5"/>
        <v>Libby Bance:0</v>
      </c>
      <c r="AR190">
        <v>47</v>
      </c>
    </row>
    <row r="191" spans="1:44" x14ac:dyDescent="0.2">
      <c r="A191" t="s">
        <v>331</v>
      </c>
      <c r="B191" t="s">
        <v>624</v>
      </c>
      <c r="C191" t="s">
        <v>625</v>
      </c>
      <c r="D191" t="s">
        <v>29</v>
      </c>
      <c r="E191" t="s">
        <v>35</v>
      </c>
      <c r="F191">
        <v>21</v>
      </c>
      <c r="G191">
        <v>2000</v>
      </c>
      <c r="H191">
        <v>16</v>
      </c>
      <c r="I191">
        <v>14</v>
      </c>
      <c r="J191">
        <v>1288</v>
      </c>
      <c r="K191">
        <v>0</v>
      </c>
      <c r="L191">
        <v>1</v>
      </c>
      <c r="M191">
        <v>0</v>
      </c>
      <c r="N191">
        <v>0</v>
      </c>
      <c r="O191">
        <v>0</v>
      </c>
      <c r="P191">
        <v>4</v>
      </c>
      <c r="Q191">
        <v>0</v>
      </c>
      <c r="R191">
        <f t="shared" si="4"/>
        <v>0</v>
      </c>
      <c r="S191" t="s">
        <v>21</v>
      </c>
      <c r="T191">
        <v>11</v>
      </c>
      <c r="U191" t="str">
        <f t="shared" si="5"/>
        <v>Lily Woodham:1</v>
      </c>
      <c r="AR191">
        <v>47</v>
      </c>
    </row>
    <row r="192" spans="1:44" x14ac:dyDescent="0.2">
      <c r="A192" t="s">
        <v>165</v>
      </c>
      <c r="B192" t="s">
        <v>658</v>
      </c>
      <c r="C192" t="s">
        <v>659</v>
      </c>
      <c r="D192" t="s">
        <v>26</v>
      </c>
      <c r="E192" t="s">
        <v>27</v>
      </c>
      <c r="F192">
        <v>26</v>
      </c>
      <c r="G192">
        <v>1995</v>
      </c>
      <c r="H192">
        <v>9</v>
      </c>
      <c r="I192">
        <v>2</v>
      </c>
      <c r="J192">
        <v>276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f t="shared" si="4"/>
        <v>0</v>
      </c>
      <c r="S192" t="s">
        <v>21</v>
      </c>
      <c r="T192">
        <v>47</v>
      </c>
      <c r="U192" t="str">
        <f t="shared" si="5"/>
        <v>Lina Hurtig:0</v>
      </c>
      <c r="AR192">
        <v>47</v>
      </c>
    </row>
    <row r="193" spans="1:44" x14ac:dyDescent="0.2">
      <c r="A193" t="s">
        <v>114</v>
      </c>
      <c r="B193" t="s">
        <v>652</v>
      </c>
      <c r="C193" t="s">
        <v>653</v>
      </c>
      <c r="D193" t="s">
        <v>42</v>
      </c>
      <c r="E193" t="s">
        <v>24</v>
      </c>
      <c r="F193">
        <v>30</v>
      </c>
      <c r="G193">
        <v>1992</v>
      </c>
      <c r="H193">
        <v>22</v>
      </c>
      <c r="I193">
        <v>16</v>
      </c>
      <c r="J193">
        <v>1411</v>
      </c>
      <c r="K193">
        <v>3</v>
      </c>
      <c r="L193">
        <v>2</v>
      </c>
      <c r="M193">
        <v>3</v>
      </c>
      <c r="N193">
        <v>0</v>
      </c>
      <c r="O193">
        <v>0</v>
      </c>
      <c r="P193">
        <v>1</v>
      </c>
      <c r="Q193">
        <v>0</v>
      </c>
      <c r="R193">
        <f t="shared" si="4"/>
        <v>2.3623907394283014E-5</v>
      </c>
      <c r="S193" t="s">
        <v>21</v>
      </c>
      <c r="T193">
        <v>21</v>
      </c>
      <c r="U193" t="str">
        <f t="shared" si="5"/>
        <v>Lisa Evans:2</v>
      </c>
      <c r="AR193">
        <v>58</v>
      </c>
    </row>
    <row r="194" spans="1:44" x14ac:dyDescent="0.2">
      <c r="A194" t="s">
        <v>226</v>
      </c>
      <c r="B194" t="s">
        <v>618</v>
      </c>
      <c r="C194" t="s">
        <v>619</v>
      </c>
      <c r="D194" t="s">
        <v>26</v>
      </c>
      <c r="E194" t="s">
        <v>52</v>
      </c>
      <c r="F194">
        <v>27</v>
      </c>
      <c r="G194">
        <v>1995</v>
      </c>
      <c r="H194">
        <v>1</v>
      </c>
      <c r="I194">
        <v>0</v>
      </c>
      <c r="J194">
        <v>4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f t="shared" si="4"/>
        <v>0</v>
      </c>
      <c r="S194" t="s">
        <v>21</v>
      </c>
      <c r="T194">
        <v>56</v>
      </c>
      <c r="U194" t="str">
        <f t="shared" si="5"/>
        <v>Lisa Naalsund:0</v>
      </c>
      <c r="AR194">
        <v>11</v>
      </c>
    </row>
    <row r="195" spans="1:44" x14ac:dyDescent="0.2">
      <c r="A195" t="s">
        <v>332</v>
      </c>
      <c r="B195" t="s">
        <v>606</v>
      </c>
      <c r="C195" t="s">
        <v>607</v>
      </c>
      <c r="D195" t="s">
        <v>50</v>
      </c>
      <c r="E195" t="s">
        <v>27</v>
      </c>
      <c r="F195">
        <v>23</v>
      </c>
      <c r="G195">
        <v>1999</v>
      </c>
      <c r="H195">
        <v>21</v>
      </c>
      <c r="I195">
        <v>18</v>
      </c>
      <c r="J195">
        <v>1617</v>
      </c>
      <c r="K195">
        <v>1</v>
      </c>
      <c r="L195">
        <v>1</v>
      </c>
      <c r="M195">
        <v>1</v>
      </c>
      <c r="N195">
        <v>0</v>
      </c>
      <c r="O195">
        <v>0</v>
      </c>
      <c r="P195">
        <v>1</v>
      </c>
      <c r="Q195">
        <v>0</v>
      </c>
      <c r="R195">
        <f t="shared" ref="R195:R258" si="6">K195/J195/90</f>
        <v>6.8714354428640147E-6</v>
      </c>
      <c r="S195" t="s">
        <v>21</v>
      </c>
      <c r="T195">
        <v>47</v>
      </c>
      <c r="U195" t="str">
        <f t="shared" ref="U195:U258" si="7">CONCATENATE(A195, ":", L195)</f>
        <v>Lotte Wubben-Moy:1</v>
      </c>
      <c r="AR195">
        <v>56</v>
      </c>
    </row>
    <row r="196" spans="1:44" x14ac:dyDescent="0.2">
      <c r="A196" t="s">
        <v>130</v>
      </c>
      <c r="B196" t="s">
        <v>666</v>
      </c>
      <c r="C196" t="s">
        <v>667</v>
      </c>
      <c r="D196" t="s">
        <v>42</v>
      </c>
      <c r="E196" t="s">
        <v>52</v>
      </c>
      <c r="F196">
        <v>24</v>
      </c>
      <c r="G196">
        <v>1998</v>
      </c>
      <c r="H196">
        <v>20</v>
      </c>
      <c r="I196">
        <v>8</v>
      </c>
      <c r="J196">
        <v>759</v>
      </c>
      <c r="K196">
        <v>8</v>
      </c>
      <c r="L196">
        <v>1</v>
      </c>
      <c r="M196">
        <v>8</v>
      </c>
      <c r="N196">
        <v>0</v>
      </c>
      <c r="O196">
        <v>0</v>
      </c>
      <c r="P196">
        <v>1</v>
      </c>
      <c r="Q196">
        <v>0</v>
      </c>
      <c r="R196">
        <f t="shared" si="6"/>
        <v>1.1711316059142147E-4</v>
      </c>
      <c r="S196" t="s">
        <v>21</v>
      </c>
      <c r="T196">
        <v>56</v>
      </c>
      <c r="U196" t="str">
        <f t="shared" si="7"/>
        <v>Lucía García:1</v>
      </c>
      <c r="AR196">
        <v>47</v>
      </c>
    </row>
    <row r="197" spans="1:44" x14ac:dyDescent="0.2">
      <c r="A197" t="s">
        <v>140</v>
      </c>
      <c r="B197" t="s">
        <v>652</v>
      </c>
      <c r="C197" t="s">
        <v>653</v>
      </c>
      <c r="D197" t="s">
        <v>29</v>
      </c>
      <c r="E197" t="s">
        <v>55</v>
      </c>
      <c r="F197">
        <v>25</v>
      </c>
      <c r="G197">
        <v>1996</v>
      </c>
      <c r="H197">
        <v>20</v>
      </c>
      <c r="I197">
        <v>17</v>
      </c>
      <c r="J197">
        <v>1565</v>
      </c>
      <c r="K197">
        <v>2</v>
      </c>
      <c r="L197">
        <v>1</v>
      </c>
      <c r="M197">
        <v>2</v>
      </c>
      <c r="N197">
        <v>0</v>
      </c>
      <c r="O197">
        <v>0</v>
      </c>
      <c r="P197">
        <v>2</v>
      </c>
      <c r="Q197">
        <v>0</v>
      </c>
      <c r="R197">
        <f t="shared" si="6"/>
        <v>1.4199503017394391E-5</v>
      </c>
      <c r="S197" t="s">
        <v>21</v>
      </c>
      <c r="T197">
        <v>30</v>
      </c>
      <c r="U197" t="str">
        <f t="shared" si="7"/>
        <v>Lucy Graham:1</v>
      </c>
      <c r="AR197">
        <v>23</v>
      </c>
    </row>
    <row r="198" spans="1:44" x14ac:dyDescent="0.2">
      <c r="A198" t="s">
        <v>237</v>
      </c>
      <c r="B198" t="s">
        <v>606</v>
      </c>
      <c r="C198" t="s">
        <v>607</v>
      </c>
      <c r="D198" t="s">
        <v>29</v>
      </c>
      <c r="E198" t="s">
        <v>24</v>
      </c>
      <c r="F198">
        <v>23</v>
      </c>
      <c r="G198">
        <v>1998</v>
      </c>
      <c r="H198">
        <v>14</v>
      </c>
      <c r="I198">
        <v>12</v>
      </c>
      <c r="J198">
        <v>1085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4</v>
      </c>
      <c r="Q198">
        <v>0</v>
      </c>
      <c r="R198">
        <f t="shared" si="6"/>
        <v>0</v>
      </c>
      <c r="S198" t="s">
        <v>21</v>
      </c>
      <c r="T198">
        <v>21</v>
      </c>
      <c r="U198" t="str">
        <f t="shared" si="7"/>
        <v>Lucy Parker:0</v>
      </c>
      <c r="AR198">
        <v>16</v>
      </c>
    </row>
    <row r="199" spans="1:44" x14ac:dyDescent="0.2">
      <c r="A199" t="s">
        <v>287</v>
      </c>
      <c r="B199" t="s">
        <v>606</v>
      </c>
      <c r="C199" t="s">
        <v>607</v>
      </c>
      <c r="D199" t="s">
        <v>23</v>
      </c>
      <c r="E199" t="s">
        <v>52</v>
      </c>
      <c r="F199">
        <v>29</v>
      </c>
      <c r="G199">
        <v>1992</v>
      </c>
      <c r="H199">
        <v>4</v>
      </c>
      <c r="I199">
        <v>2</v>
      </c>
      <c r="J199">
        <v>171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f t="shared" si="6"/>
        <v>0</v>
      </c>
      <c r="S199" t="s">
        <v>21</v>
      </c>
      <c r="T199">
        <v>56</v>
      </c>
      <c r="U199" t="str">
        <f t="shared" si="7"/>
        <v>Lucy Staniforth:0</v>
      </c>
      <c r="AR199">
        <v>23</v>
      </c>
    </row>
    <row r="200" spans="1:44" x14ac:dyDescent="0.2">
      <c r="A200" t="s">
        <v>287</v>
      </c>
      <c r="B200" t="s">
        <v>606</v>
      </c>
      <c r="C200" t="s">
        <v>607</v>
      </c>
      <c r="D200" t="s">
        <v>34</v>
      </c>
      <c r="E200" t="s">
        <v>37</v>
      </c>
      <c r="F200">
        <v>29</v>
      </c>
      <c r="G200">
        <v>1992</v>
      </c>
      <c r="H200">
        <v>13</v>
      </c>
      <c r="I200">
        <v>13</v>
      </c>
      <c r="J200">
        <v>1063</v>
      </c>
      <c r="K200">
        <v>1</v>
      </c>
      <c r="L200">
        <v>1</v>
      </c>
      <c r="M200">
        <v>1</v>
      </c>
      <c r="N200">
        <v>0</v>
      </c>
      <c r="O200">
        <v>0</v>
      </c>
      <c r="P200">
        <v>2</v>
      </c>
      <c r="Q200">
        <v>0</v>
      </c>
      <c r="R200">
        <f t="shared" si="6"/>
        <v>1.0452597470471412E-5</v>
      </c>
      <c r="S200" t="s">
        <v>21</v>
      </c>
      <c r="T200">
        <v>37</v>
      </c>
      <c r="U200" t="str">
        <f t="shared" si="7"/>
        <v>Lucy Staniforth:1</v>
      </c>
      <c r="AR200">
        <v>47</v>
      </c>
    </row>
    <row r="201" spans="1:44" x14ac:dyDescent="0.2">
      <c r="A201" t="s">
        <v>172</v>
      </c>
      <c r="B201" t="s">
        <v>606</v>
      </c>
      <c r="C201" t="s">
        <v>607</v>
      </c>
      <c r="D201" t="s">
        <v>34</v>
      </c>
      <c r="E201" t="s">
        <v>48</v>
      </c>
      <c r="F201">
        <v>18</v>
      </c>
      <c r="G201">
        <v>2004</v>
      </c>
      <c r="H201">
        <v>1</v>
      </c>
      <c r="I201">
        <v>0</v>
      </c>
      <c r="J201">
        <v>5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f t="shared" si="6"/>
        <v>0</v>
      </c>
      <c r="S201" t="s">
        <v>21</v>
      </c>
      <c r="T201">
        <v>16</v>
      </c>
      <c r="U201" t="str">
        <f t="shared" si="7"/>
        <v>Lulu Jarvis:0</v>
      </c>
      <c r="AR201">
        <v>18</v>
      </c>
    </row>
    <row r="202" spans="1:44" x14ac:dyDescent="0.2">
      <c r="A202" t="s">
        <v>327</v>
      </c>
      <c r="B202" t="s">
        <v>612</v>
      </c>
      <c r="C202" t="s">
        <v>613</v>
      </c>
      <c r="D202" t="s">
        <v>40</v>
      </c>
      <c r="E202" t="s">
        <v>48</v>
      </c>
      <c r="F202">
        <v>34</v>
      </c>
      <c r="G202">
        <v>1988</v>
      </c>
      <c r="H202">
        <v>7</v>
      </c>
      <c r="I202">
        <v>7</v>
      </c>
      <c r="J202">
        <v>630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f t="shared" si="6"/>
        <v>0</v>
      </c>
      <c r="S202" t="s">
        <v>21</v>
      </c>
      <c r="T202">
        <v>16</v>
      </c>
      <c r="U202" t="str">
        <f t="shared" si="7"/>
        <v>Lydia Williams:0</v>
      </c>
      <c r="AR202">
        <v>30</v>
      </c>
    </row>
    <row r="203" spans="1:44" x14ac:dyDescent="0.2">
      <c r="A203" t="s">
        <v>39</v>
      </c>
      <c r="B203" t="s">
        <v>612</v>
      </c>
      <c r="C203" t="s">
        <v>613</v>
      </c>
      <c r="D203" t="s">
        <v>40</v>
      </c>
      <c r="E203" t="s">
        <v>24</v>
      </c>
      <c r="F203">
        <v>28</v>
      </c>
      <c r="G203">
        <v>1994</v>
      </c>
      <c r="H203">
        <v>20</v>
      </c>
      <c r="I203">
        <v>20</v>
      </c>
      <c r="J203">
        <v>1789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1</v>
      </c>
      <c r="Q203">
        <v>0</v>
      </c>
      <c r="R203">
        <f t="shared" si="6"/>
        <v>0</v>
      </c>
      <c r="S203" t="s">
        <v>21</v>
      </c>
      <c r="T203">
        <v>21</v>
      </c>
      <c r="U203" t="str">
        <f t="shared" si="7"/>
        <v>Mackenzie Arnold:0</v>
      </c>
      <c r="AR203">
        <v>47</v>
      </c>
    </row>
    <row r="204" spans="1:44" x14ac:dyDescent="0.2">
      <c r="A204" t="s">
        <v>281</v>
      </c>
      <c r="D204" t="s">
        <v>29</v>
      </c>
      <c r="E204" t="s">
        <v>46</v>
      </c>
      <c r="H204">
        <v>4</v>
      </c>
      <c r="I204">
        <v>0</v>
      </c>
      <c r="J204">
        <v>67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f t="shared" si="6"/>
        <v>0</v>
      </c>
      <c r="S204" t="s">
        <v>21</v>
      </c>
      <c r="T204">
        <v>16</v>
      </c>
      <c r="U204" t="str">
        <f t="shared" si="7"/>
        <v>Mackenzie Smith:0</v>
      </c>
      <c r="AR204">
        <v>16</v>
      </c>
    </row>
    <row r="205" spans="1:44" x14ac:dyDescent="0.2">
      <c r="A205" t="s">
        <v>246</v>
      </c>
      <c r="D205" t="s">
        <v>26</v>
      </c>
      <c r="E205" t="s">
        <v>35</v>
      </c>
      <c r="H205">
        <v>5</v>
      </c>
      <c r="I205">
        <v>0</v>
      </c>
      <c r="J205">
        <v>92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f t="shared" si="6"/>
        <v>0</v>
      </c>
      <c r="S205" t="s">
        <v>21</v>
      </c>
      <c r="T205">
        <v>11</v>
      </c>
      <c r="U205" t="str">
        <f t="shared" si="7"/>
        <v>Madison Perry:0</v>
      </c>
      <c r="AR205">
        <v>16</v>
      </c>
    </row>
    <row r="206" spans="1:44" x14ac:dyDescent="0.2">
      <c r="A206" t="s">
        <v>112</v>
      </c>
      <c r="B206" t="s">
        <v>658</v>
      </c>
      <c r="C206" t="s">
        <v>659</v>
      </c>
      <c r="D206" t="s">
        <v>50</v>
      </c>
      <c r="E206" t="s">
        <v>20</v>
      </c>
      <c r="F206">
        <v>28</v>
      </c>
      <c r="G206">
        <v>1993</v>
      </c>
      <c r="H206">
        <v>20</v>
      </c>
      <c r="I206">
        <v>18</v>
      </c>
      <c r="J206">
        <v>1576</v>
      </c>
      <c r="K206">
        <v>1</v>
      </c>
      <c r="L206">
        <v>0</v>
      </c>
      <c r="M206">
        <v>1</v>
      </c>
      <c r="N206">
        <v>0</v>
      </c>
      <c r="O206">
        <v>0</v>
      </c>
      <c r="P206">
        <v>0</v>
      </c>
      <c r="Q206">
        <v>0</v>
      </c>
      <c r="R206">
        <f t="shared" si="6"/>
        <v>7.0501974055273539E-6</v>
      </c>
      <c r="S206" t="s">
        <v>21</v>
      </c>
      <c r="T206">
        <v>58</v>
      </c>
      <c r="U206" t="str">
        <f t="shared" si="7"/>
        <v>Magdalena Eriksson:0</v>
      </c>
      <c r="AR206">
        <v>11</v>
      </c>
    </row>
    <row r="207" spans="1:44" x14ac:dyDescent="0.2">
      <c r="A207" t="s">
        <v>296</v>
      </c>
      <c r="B207" t="s">
        <v>606</v>
      </c>
      <c r="C207" t="s">
        <v>607</v>
      </c>
      <c r="D207" t="s">
        <v>42</v>
      </c>
      <c r="E207" t="s">
        <v>48</v>
      </c>
      <c r="F207">
        <v>19</v>
      </c>
      <c r="G207">
        <v>2003</v>
      </c>
      <c r="H207">
        <v>4</v>
      </c>
      <c r="I207">
        <v>1</v>
      </c>
      <c r="J207">
        <v>142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1</v>
      </c>
      <c r="Q207">
        <v>0</v>
      </c>
      <c r="R207">
        <f t="shared" si="6"/>
        <v>0</v>
      </c>
      <c r="S207" t="s">
        <v>21</v>
      </c>
      <c r="T207">
        <v>16</v>
      </c>
      <c r="U207" t="str">
        <f t="shared" si="7"/>
        <v>Maisie Symonds:0</v>
      </c>
      <c r="AR207">
        <v>47</v>
      </c>
    </row>
    <row r="208" spans="1:44" x14ac:dyDescent="0.2">
      <c r="A208" t="s">
        <v>168</v>
      </c>
      <c r="B208" t="s">
        <v>660</v>
      </c>
      <c r="C208" t="s">
        <v>661</v>
      </c>
      <c r="D208" t="s">
        <v>23</v>
      </c>
      <c r="E208" t="s">
        <v>27</v>
      </c>
      <c r="F208">
        <v>29</v>
      </c>
      <c r="G208">
        <v>1993</v>
      </c>
      <c r="H208">
        <v>3</v>
      </c>
      <c r="I208">
        <v>0</v>
      </c>
      <c r="J208">
        <v>29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f t="shared" si="6"/>
        <v>0</v>
      </c>
      <c r="S208" t="s">
        <v>21</v>
      </c>
      <c r="T208">
        <v>47</v>
      </c>
      <c r="U208" t="str">
        <f t="shared" si="7"/>
        <v>Mana Iwabuchi:0</v>
      </c>
      <c r="AR208">
        <v>21</v>
      </c>
    </row>
    <row r="209" spans="1:44" x14ac:dyDescent="0.2">
      <c r="A209" t="s">
        <v>168</v>
      </c>
      <c r="B209" t="s">
        <v>660</v>
      </c>
      <c r="C209" t="s">
        <v>661</v>
      </c>
      <c r="D209" t="s">
        <v>23</v>
      </c>
      <c r="E209" t="s">
        <v>30</v>
      </c>
      <c r="F209">
        <v>29</v>
      </c>
      <c r="G209">
        <v>1993</v>
      </c>
      <c r="H209">
        <v>10</v>
      </c>
      <c r="I209">
        <v>5</v>
      </c>
      <c r="J209">
        <v>516</v>
      </c>
      <c r="K209">
        <v>0</v>
      </c>
      <c r="L209">
        <v>1</v>
      </c>
      <c r="M209">
        <v>0</v>
      </c>
      <c r="N209">
        <v>0</v>
      </c>
      <c r="O209">
        <v>0</v>
      </c>
      <c r="P209">
        <v>0</v>
      </c>
      <c r="Q209">
        <v>0</v>
      </c>
      <c r="R209">
        <f t="shared" si="6"/>
        <v>0</v>
      </c>
      <c r="S209" t="s">
        <v>21</v>
      </c>
      <c r="T209">
        <v>18</v>
      </c>
      <c r="U209" t="str">
        <f t="shared" si="7"/>
        <v>Mana Iwabuchi:1</v>
      </c>
      <c r="AR209">
        <v>56</v>
      </c>
    </row>
    <row r="210" spans="1:44" x14ac:dyDescent="0.2">
      <c r="A210" t="s">
        <v>337</v>
      </c>
      <c r="B210" t="s">
        <v>668</v>
      </c>
      <c r="C210" t="s">
        <v>669</v>
      </c>
      <c r="D210" t="s">
        <v>40</v>
      </c>
      <c r="E210" t="s">
        <v>27</v>
      </c>
      <c r="F210">
        <v>26</v>
      </c>
      <c r="G210">
        <v>1995</v>
      </c>
      <c r="H210">
        <v>18</v>
      </c>
      <c r="I210">
        <v>18</v>
      </c>
      <c r="J210">
        <v>1620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f t="shared" si="6"/>
        <v>0</v>
      </c>
      <c r="S210" t="s">
        <v>21</v>
      </c>
      <c r="T210">
        <v>47</v>
      </c>
      <c r="U210" t="str">
        <f t="shared" si="7"/>
        <v>Manuela Zinsberger:0</v>
      </c>
      <c r="AR210">
        <v>47</v>
      </c>
    </row>
    <row r="211" spans="1:44" x14ac:dyDescent="0.2">
      <c r="A211" t="s">
        <v>219</v>
      </c>
      <c r="B211" t="s">
        <v>618</v>
      </c>
      <c r="C211" t="s">
        <v>619</v>
      </c>
      <c r="D211" t="s">
        <v>29</v>
      </c>
      <c r="E211" t="s">
        <v>20</v>
      </c>
      <c r="F211">
        <v>32</v>
      </c>
      <c r="G211">
        <v>1989</v>
      </c>
      <c r="H211">
        <v>7</v>
      </c>
      <c r="I211">
        <v>6</v>
      </c>
      <c r="J211">
        <v>512</v>
      </c>
      <c r="K211">
        <v>1</v>
      </c>
      <c r="L211">
        <v>0</v>
      </c>
      <c r="M211">
        <v>0</v>
      </c>
      <c r="N211">
        <v>1</v>
      </c>
      <c r="O211">
        <v>1</v>
      </c>
      <c r="P211">
        <v>0</v>
      </c>
      <c r="Q211">
        <v>0</v>
      </c>
      <c r="R211">
        <f t="shared" si="6"/>
        <v>2.170138888888889E-5</v>
      </c>
      <c r="S211" t="s">
        <v>21</v>
      </c>
      <c r="T211">
        <v>58</v>
      </c>
      <c r="U211" t="str">
        <f t="shared" si="7"/>
        <v>Maren Mjelde:0</v>
      </c>
      <c r="AR211">
        <v>56</v>
      </c>
    </row>
    <row r="212" spans="1:44" x14ac:dyDescent="0.2">
      <c r="A212" t="s">
        <v>303</v>
      </c>
      <c r="B212" t="s">
        <v>618</v>
      </c>
      <c r="C212" t="s">
        <v>619</v>
      </c>
      <c r="D212" t="s">
        <v>50</v>
      </c>
      <c r="E212" t="s">
        <v>52</v>
      </c>
      <c r="F212">
        <v>29</v>
      </c>
      <c r="G212">
        <v>1993</v>
      </c>
      <c r="H212">
        <v>5</v>
      </c>
      <c r="I212">
        <v>3</v>
      </c>
      <c r="J212">
        <v>291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f t="shared" si="6"/>
        <v>0</v>
      </c>
      <c r="S212" t="s">
        <v>21</v>
      </c>
      <c r="T212">
        <v>56</v>
      </c>
      <c r="U212" t="str">
        <f t="shared" si="7"/>
        <v>Maria Thorisdottir:0</v>
      </c>
      <c r="AR212">
        <v>30</v>
      </c>
    </row>
    <row r="213" spans="1:44" x14ac:dyDescent="0.2">
      <c r="A213" t="s">
        <v>302</v>
      </c>
      <c r="B213" t="s">
        <v>652</v>
      </c>
      <c r="C213" t="s">
        <v>653</v>
      </c>
      <c r="D213" t="s">
        <v>26</v>
      </c>
      <c r="E213" t="s">
        <v>52</v>
      </c>
      <c r="F213">
        <v>26</v>
      </c>
      <c r="G213">
        <v>1996</v>
      </c>
      <c r="H213">
        <v>20</v>
      </c>
      <c r="I213">
        <v>1</v>
      </c>
      <c r="J213">
        <v>408</v>
      </c>
      <c r="K213">
        <v>1</v>
      </c>
      <c r="L213">
        <v>2</v>
      </c>
      <c r="M213">
        <v>1</v>
      </c>
      <c r="N213">
        <v>0</v>
      </c>
      <c r="O213">
        <v>0</v>
      </c>
      <c r="P213">
        <v>0</v>
      </c>
      <c r="Q213">
        <v>0</v>
      </c>
      <c r="R213">
        <f t="shared" si="6"/>
        <v>2.7233115468409585E-5</v>
      </c>
      <c r="S213" t="s">
        <v>21</v>
      </c>
      <c r="T213">
        <v>56</v>
      </c>
      <c r="U213" t="str">
        <f t="shared" si="7"/>
        <v>Martha Thomas:2</v>
      </c>
      <c r="AR213">
        <v>21</v>
      </c>
    </row>
    <row r="214" spans="1:44" x14ac:dyDescent="0.2">
      <c r="A214" t="s">
        <v>108</v>
      </c>
      <c r="B214" t="s">
        <v>606</v>
      </c>
      <c r="C214" t="s">
        <v>607</v>
      </c>
      <c r="D214" t="s">
        <v>40</v>
      </c>
      <c r="E214" t="s">
        <v>52</v>
      </c>
      <c r="F214">
        <v>29</v>
      </c>
      <c r="G214">
        <v>1993</v>
      </c>
      <c r="H214">
        <v>22</v>
      </c>
      <c r="I214">
        <v>22</v>
      </c>
      <c r="J214">
        <v>1980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f t="shared" si="6"/>
        <v>0</v>
      </c>
      <c r="S214" t="s">
        <v>21</v>
      </c>
      <c r="T214">
        <v>56</v>
      </c>
      <c r="U214" t="str">
        <f t="shared" si="7"/>
        <v>Mary Earps:0</v>
      </c>
      <c r="AR214">
        <v>56</v>
      </c>
    </row>
    <row r="215" spans="1:44" x14ac:dyDescent="0.2">
      <c r="A215" t="s">
        <v>125</v>
      </c>
      <c r="B215" t="s">
        <v>612</v>
      </c>
      <c r="C215" t="s">
        <v>613</v>
      </c>
      <c r="D215" t="s">
        <v>23</v>
      </c>
      <c r="E215" t="s">
        <v>32</v>
      </c>
      <c r="F215">
        <v>19</v>
      </c>
      <c r="G215">
        <v>2003</v>
      </c>
      <c r="H215">
        <v>11</v>
      </c>
      <c r="I215">
        <v>0</v>
      </c>
      <c r="J215">
        <v>165</v>
      </c>
      <c r="K215">
        <v>1</v>
      </c>
      <c r="L215">
        <v>1</v>
      </c>
      <c r="M215">
        <v>1</v>
      </c>
      <c r="N215">
        <v>0</v>
      </c>
      <c r="O215">
        <v>0</v>
      </c>
      <c r="P215">
        <v>0</v>
      </c>
      <c r="Q215">
        <v>0</v>
      </c>
      <c r="R215">
        <f t="shared" si="6"/>
        <v>6.7340067340067335E-5</v>
      </c>
      <c r="S215" t="s">
        <v>21</v>
      </c>
      <c r="T215">
        <v>47</v>
      </c>
      <c r="U215" t="str">
        <f t="shared" si="7"/>
        <v>Mary Fowler:1</v>
      </c>
      <c r="AR215">
        <v>37</v>
      </c>
    </row>
    <row r="216" spans="1:44" x14ac:dyDescent="0.2">
      <c r="A216" t="s">
        <v>192</v>
      </c>
      <c r="B216" t="s">
        <v>606</v>
      </c>
      <c r="C216" t="s">
        <v>607</v>
      </c>
      <c r="D216" t="s">
        <v>50</v>
      </c>
      <c r="E216" t="s">
        <v>52</v>
      </c>
      <c r="F216">
        <v>20</v>
      </c>
      <c r="G216">
        <v>2002</v>
      </c>
      <c r="H216">
        <v>22</v>
      </c>
      <c r="I216">
        <v>22</v>
      </c>
      <c r="J216">
        <v>1958</v>
      </c>
      <c r="K216">
        <v>2</v>
      </c>
      <c r="L216">
        <v>2</v>
      </c>
      <c r="M216">
        <v>2</v>
      </c>
      <c r="N216">
        <v>0</v>
      </c>
      <c r="O216">
        <v>0</v>
      </c>
      <c r="P216">
        <v>0</v>
      </c>
      <c r="Q216">
        <v>0</v>
      </c>
      <c r="R216">
        <f t="shared" si="6"/>
        <v>1.1349449551696744E-5</v>
      </c>
      <c r="S216" t="s">
        <v>21</v>
      </c>
      <c r="T216">
        <v>56</v>
      </c>
      <c r="U216" t="str">
        <f t="shared" si="7"/>
        <v>Maya Le Tissier:2</v>
      </c>
      <c r="AR216">
        <v>16</v>
      </c>
    </row>
    <row r="217" spans="1:44" x14ac:dyDescent="0.2">
      <c r="A217" t="s">
        <v>235</v>
      </c>
      <c r="B217" t="s">
        <v>606</v>
      </c>
      <c r="C217" t="s">
        <v>607</v>
      </c>
      <c r="D217" t="s">
        <v>50</v>
      </c>
      <c r="E217" t="s">
        <v>37</v>
      </c>
      <c r="F217">
        <v>23</v>
      </c>
      <c r="G217">
        <v>1998</v>
      </c>
      <c r="H217">
        <v>22</v>
      </c>
      <c r="I217">
        <v>22</v>
      </c>
      <c r="J217">
        <v>1959</v>
      </c>
      <c r="K217">
        <v>0</v>
      </c>
      <c r="L217">
        <v>3</v>
      </c>
      <c r="M217">
        <v>0</v>
      </c>
      <c r="N217">
        <v>0</v>
      </c>
      <c r="O217">
        <v>0</v>
      </c>
      <c r="P217">
        <v>2</v>
      </c>
      <c r="Q217">
        <v>0</v>
      </c>
      <c r="R217">
        <f t="shared" si="6"/>
        <v>0</v>
      </c>
      <c r="S217" t="s">
        <v>21</v>
      </c>
      <c r="T217">
        <v>37</v>
      </c>
      <c r="U217" t="str">
        <f t="shared" si="7"/>
        <v>Mayumi Pacheco:3</v>
      </c>
      <c r="AR217">
        <v>16</v>
      </c>
    </row>
    <row r="218" spans="1:44" x14ac:dyDescent="0.2">
      <c r="A218" t="s">
        <v>80</v>
      </c>
      <c r="B218" t="s">
        <v>632</v>
      </c>
      <c r="C218" t="s">
        <v>633</v>
      </c>
      <c r="D218" t="s">
        <v>29</v>
      </c>
      <c r="E218" t="s">
        <v>65</v>
      </c>
      <c r="F218">
        <v>29</v>
      </c>
      <c r="G218">
        <v>1993</v>
      </c>
      <c r="H218">
        <v>16</v>
      </c>
      <c r="I218">
        <v>12</v>
      </c>
      <c r="J218">
        <v>1090</v>
      </c>
      <c r="K218">
        <v>0</v>
      </c>
      <c r="L218">
        <v>1</v>
      </c>
      <c r="M218">
        <v>0</v>
      </c>
      <c r="N218">
        <v>0</v>
      </c>
      <c r="O218">
        <v>0</v>
      </c>
      <c r="P218">
        <v>2</v>
      </c>
      <c r="Q218">
        <v>0</v>
      </c>
      <c r="R218">
        <f t="shared" si="6"/>
        <v>0</v>
      </c>
      <c r="S218" t="s">
        <v>21</v>
      </c>
      <c r="T218">
        <v>23</v>
      </c>
      <c r="U218" t="str">
        <f t="shared" si="7"/>
        <v>Megan Campbell:1</v>
      </c>
      <c r="AR218">
        <v>21</v>
      </c>
    </row>
    <row r="219" spans="1:44" x14ac:dyDescent="0.2">
      <c r="A219" t="s">
        <v>93</v>
      </c>
      <c r="B219" t="s">
        <v>632</v>
      </c>
      <c r="C219" t="s">
        <v>633</v>
      </c>
      <c r="D219" t="s">
        <v>94</v>
      </c>
      <c r="E219" t="s">
        <v>48</v>
      </c>
      <c r="F219">
        <v>25</v>
      </c>
      <c r="G219">
        <v>1997</v>
      </c>
      <c r="H219">
        <v>14</v>
      </c>
      <c r="I219">
        <v>13</v>
      </c>
      <c r="J219">
        <v>1190</v>
      </c>
      <c r="K219">
        <v>0</v>
      </c>
      <c r="L219">
        <v>1</v>
      </c>
      <c r="M219">
        <v>0</v>
      </c>
      <c r="N219">
        <v>0</v>
      </c>
      <c r="O219">
        <v>0</v>
      </c>
      <c r="P219">
        <v>2</v>
      </c>
      <c r="Q219">
        <v>0</v>
      </c>
      <c r="R219">
        <f t="shared" si="6"/>
        <v>0</v>
      </c>
      <c r="S219" t="s">
        <v>21</v>
      </c>
      <c r="T219">
        <v>16</v>
      </c>
      <c r="U219" t="str">
        <f t="shared" si="7"/>
        <v>Megan Connolly:1</v>
      </c>
      <c r="AR219">
        <v>21</v>
      </c>
    </row>
    <row r="220" spans="1:44" x14ac:dyDescent="0.2">
      <c r="A220" t="s">
        <v>118</v>
      </c>
      <c r="B220" t="s">
        <v>606</v>
      </c>
      <c r="C220" t="s">
        <v>607</v>
      </c>
      <c r="D220" t="s">
        <v>50</v>
      </c>
      <c r="E220" t="s">
        <v>55</v>
      </c>
      <c r="F220">
        <v>24</v>
      </c>
      <c r="G220">
        <v>1998</v>
      </c>
      <c r="H220">
        <v>16</v>
      </c>
      <c r="I220">
        <v>13</v>
      </c>
      <c r="J220">
        <v>1190</v>
      </c>
      <c r="K220">
        <v>2</v>
      </c>
      <c r="L220">
        <v>0</v>
      </c>
      <c r="M220">
        <v>2</v>
      </c>
      <c r="N220">
        <v>0</v>
      </c>
      <c r="O220">
        <v>0</v>
      </c>
      <c r="P220">
        <v>0</v>
      </c>
      <c r="Q220">
        <v>0</v>
      </c>
      <c r="R220">
        <f t="shared" si="6"/>
        <v>1.8674136321195147E-5</v>
      </c>
      <c r="S220" t="s">
        <v>21</v>
      </c>
      <c r="T220">
        <v>30</v>
      </c>
      <c r="U220" t="str">
        <f t="shared" si="7"/>
        <v>Megan Finnigan:0</v>
      </c>
      <c r="AR220">
        <v>16</v>
      </c>
    </row>
    <row r="221" spans="1:44" x14ac:dyDescent="0.2">
      <c r="A221" t="s">
        <v>319</v>
      </c>
      <c r="B221" t="s">
        <v>632</v>
      </c>
      <c r="C221" t="s">
        <v>633</v>
      </c>
      <c r="D221" t="s">
        <v>40</v>
      </c>
      <c r="E221" t="s">
        <v>48</v>
      </c>
      <c r="F221">
        <v>27</v>
      </c>
      <c r="G221">
        <v>1994</v>
      </c>
      <c r="H221">
        <v>15</v>
      </c>
      <c r="I221">
        <v>15</v>
      </c>
      <c r="J221">
        <v>1350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f t="shared" si="6"/>
        <v>0</v>
      </c>
      <c r="S221" t="s">
        <v>21</v>
      </c>
      <c r="T221">
        <v>16</v>
      </c>
      <c r="U221" t="str">
        <f t="shared" si="7"/>
        <v>Megan Walsh:0</v>
      </c>
      <c r="AR221">
        <v>11</v>
      </c>
    </row>
    <row r="222" spans="1:44" x14ac:dyDescent="0.2">
      <c r="A222" t="s">
        <v>197</v>
      </c>
      <c r="B222" t="s">
        <v>630</v>
      </c>
      <c r="C222" t="s">
        <v>631</v>
      </c>
      <c r="D222" t="s">
        <v>23</v>
      </c>
      <c r="E222" t="s">
        <v>20</v>
      </c>
      <c r="F222">
        <v>28</v>
      </c>
      <c r="G222">
        <v>1994</v>
      </c>
      <c r="H222">
        <v>7</v>
      </c>
      <c r="I222">
        <v>5</v>
      </c>
      <c r="J222">
        <v>453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1</v>
      </c>
      <c r="Q222">
        <v>0</v>
      </c>
      <c r="R222">
        <f t="shared" si="6"/>
        <v>0</v>
      </c>
      <c r="S222" t="s">
        <v>21</v>
      </c>
      <c r="T222">
        <v>58</v>
      </c>
      <c r="U222" t="str">
        <f t="shared" si="7"/>
        <v>Melanie Leupolz:0</v>
      </c>
      <c r="AR222">
        <v>58</v>
      </c>
    </row>
    <row r="223" spans="1:44" x14ac:dyDescent="0.2">
      <c r="A223" t="s">
        <v>117</v>
      </c>
      <c r="B223" t="s">
        <v>606</v>
      </c>
      <c r="C223" t="s">
        <v>607</v>
      </c>
      <c r="D223" t="s">
        <v>23</v>
      </c>
      <c r="E223" t="s">
        <v>24</v>
      </c>
      <c r="F223">
        <v>20</v>
      </c>
      <c r="G223">
        <v>2002</v>
      </c>
      <c r="H223">
        <v>9</v>
      </c>
      <c r="I223">
        <v>3</v>
      </c>
      <c r="J223">
        <v>299</v>
      </c>
      <c r="K223">
        <v>0</v>
      </c>
      <c r="L223">
        <v>2</v>
      </c>
      <c r="M223">
        <v>0</v>
      </c>
      <c r="N223">
        <v>0</v>
      </c>
      <c r="O223">
        <v>0</v>
      </c>
      <c r="P223">
        <v>2</v>
      </c>
      <c r="Q223">
        <v>0</v>
      </c>
      <c r="R223">
        <f t="shared" si="6"/>
        <v>0</v>
      </c>
      <c r="S223" t="s">
        <v>21</v>
      </c>
      <c r="T223">
        <v>21</v>
      </c>
      <c r="U223" t="str">
        <f t="shared" si="7"/>
        <v>Melisa Filis:2</v>
      </c>
      <c r="AR223">
        <v>16</v>
      </c>
    </row>
    <row r="224" spans="1:44" x14ac:dyDescent="0.2">
      <c r="A224" t="s">
        <v>190</v>
      </c>
      <c r="B224" t="s">
        <v>606</v>
      </c>
      <c r="C224" t="s">
        <v>607</v>
      </c>
      <c r="D224" t="s">
        <v>42</v>
      </c>
      <c r="E224" t="s">
        <v>65</v>
      </c>
      <c r="F224">
        <v>28</v>
      </c>
      <c r="G224">
        <v>1994</v>
      </c>
      <c r="H224">
        <v>13</v>
      </c>
      <c r="I224">
        <v>12</v>
      </c>
      <c r="J224">
        <v>1014</v>
      </c>
      <c r="K224">
        <v>0</v>
      </c>
      <c r="L224">
        <v>3</v>
      </c>
      <c r="M224">
        <v>0</v>
      </c>
      <c r="N224">
        <v>0</v>
      </c>
      <c r="O224">
        <v>0</v>
      </c>
      <c r="P224">
        <v>2</v>
      </c>
      <c r="Q224">
        <v>0</v>
      </c>
      <c r="R224">
        <f t="shared" si="6"/>
        <v>0</v>
      </c>
      <c r="S224" t="s">
        <v>21</v>
      </c>
      <c r="T224">
        <v>23</v>
      </c>
      <c r="U224" t="str">
        <f t="shared" si="7"/>
        <v>Melissa Lawley:3</v>
      </c>
      <c r="AR224">
        <v>47</v>
      </c>
    </row>
    <row r="225" spans="1:44" x14ac:dyDescent="0.2">
      <c r="A225" t="s">
        <v>25</v>
      </c>
      <c r="B225" t="s">
        <v>606</v>
      </c>
      <c r="C225" t="s">
        <v>607</v>
      </c>
      <c r="D225" t="s">
        <v>26</v>
      </c>
      <c r="E225" t="s">
        <v>27</v>
      </c>
      <c r="F225">
        <v>16</v>
      </c>
      <c r="G225">
        <v>2006</v>
      </c>
      <c r="H225">
        <v>3</v>
      </c>
      <c r="I225">
        <v>0</v>
      </c>
      <c r="J225">
        <v>16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f t="shared" si="6"/>
        <v>0</v>
      </c>
      <c r="S225" t="s">
        <v>21</v>
      </c>
      <c r="T225">
        <v>47</v>
      </c>
      <c r="U225" t="str">
        <f t="shared" si="7"/>
        <v>Michelle Agyemang:0</v>
      </c>
      <c r="AR225">
        <v>18</v>
      </c>
    </row>
    <row r="226" spans="1:44" x14ac:dyDescent="0.2">
      <c r="A226" t="s">
        <v>70</v>
      </c>
      <c r="B226" t="s">
        <v>606</v>
      </c>
      <c r="C226" t="s">
        <v>607</v>
      </c>
      <c r="D226" t="s">
        <v>50</v>
      </c>
      <c r="E226" t="s">
        <v>20</v>
      </c>
      <c r="F226">
        <v>28</v>
      </c>
      <c r="G226">
        <v>1993</v>
      </c>
      <c r="H226">
        <v>14</v>
      </c>
      <c r="I226">
        <v>14</v>
      </c>
      <c r="J226">
        <v>1229</v>
      </c>
      <c r="K226">
        <v>1</v>
      </c>
      <c r="L226">
        <v>1</v>
      </c>
      <c r="M226">
        <v>1</v>
      </c>
      <c r="N226">
        <v>0</v>
      </c>
      <c r="O226">
        <v>0</v>
      </c>
      <c r="P226">
        <v>0</v>
      </c>
      <c r="Q226">
        <v>0</v>
      </c>
      <c r="R226">
        <f t="shared" si="6"/>
        <v>9.040773890245005E-6</v>
      </c>
      <c r="S226" t="s">
        <v>21</v>
      </c>
      <c r="T226">
        <v>58</v>
      </c>
      <c r="U226" t="str">
        <f t="shared" si="7"/>
        <v>Millie Bright:1</v>
      </c>
      <c r="AR226">
        <v>47</v>
      </c>
    </row>
    <row r="227" spans="1:44" x14ac:dyDescent="0.2">
      <c r="A227" t="s">
        <v>310</v>
      </c>
      <c r="B227" t="s">
        <v>606</v>
      </c>
      <c r="C227" t="s">
        <v>607</v>
      </c>
      <c r="D227" t="s">
        <v>50</v>
      </c>
      <c r="E227" t="s">
        <v>52</v>
      </c>
      <c r="F227">
        <v>26</v>
      </c>
      <c r="G227">
        <v>1996</v>
      </c>
      <c r="H227">
        <v>22</v>
      </c>
      <c r="I227">
        <v>20</v>
      </c>
      <c r="J227">
        <v>1797</v>
      </c>
      <c r="K227">
        <v>2</v>
      </c>
      <c r="L227">
        <v>0</v>
      </c>
      <c r="M227">
        <v>2</v>
      </c>
      <c r="N227">
        <v>0</v>
      </c>
      <c r="O227">
        <v>0</v>
      </c>
      <c r="P227">
        <v>1</v>
      </c>
      <c r="Q227">
        <v>0</v>
      </c>
      <c r="R227">
        <f t="shared" si="6"/>
        <v>1.2366289494837075E-5</v>
      </c>
      <c r="S227" t="s">
        <v>21</v>
      </c>
      <c r="T227">
        <v>56</v>
      </c>
      <c r="U227" t="str">
        <f t="shared" si="7"/>
        <v>Millie Turner:0</v>
      </c>
      <c r="AR227">
        <v>58</v>
      </c>
    </row>
    <row r="228" spans="1:44" x14ac:dyDescent="0.2">
      <c r="A228" t="s">
        <v>299</v>
      </c>
      <c r="B228" t="s">
        <v>606</v>
      </c>
      <c r="C228" t="s">
        <v>607</v>
      </c>
      <c r="D228" t="s">
        <v>34</v>
      </c>
      <c r="E228" t="s">
        <v>65</v>
      </c>
      <c r="F228">
        <v>22</v>
      </c>
      <c r="G228">
        <v>2000</v>
      </c>
      <c r="H228">
        <v>9</v>
      </c>
      <c r="I228">
        <v>3</v>
      </c>
      <c r="J228">
        <v>220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f t="shared" si="6"/>
        <v>0</v>
      </c>
      <c r="S228" t="s">
        <v>21</v>
      </c>
      <c r="T228">
        <v>23</v>
      </c>
      <c r="U228" t="str">
        <f t="shared" si="7"/>
        <v>Miri Taylor:0</v>
      </c>
      <c r="AR228">
        <v>56</v>
      </c>
    </row>
    <row r="229" spans="1:44" x14ac:dyDescent="0.2">
      <c r="A229" t="s">
        <v>64</v>
      </c>
      <c r="B229" t="s">
        <v>606</v>
      </c>
      <c r="C229" t="s">
        <v>607</v>
      </c>
      <c r="D229" t="s">
        <v>34</v>
      </c>
      <c r="E229" t="s">
        <v>65</v>
      </c>
      <c r="F229">
        <v>21</v>
      </c>
      <c r="G229">
        <v>2001</v>
      </c>
      <c r="H229">
        <v>22</v>
      </c>
      <c r="I229">
        <v>17</v>
      </c>
      <c r="J229">
        <v>1439</v>
      </c>
      <c r="K229">
        <v>4</v>
      </c>
      <c r="L229">
        <v>0</v>
      </c>
      <c r="M229">
        <v>4</v>
      </c>
      <c r="N229">
        <v>0</v>
      </c>
      <c r="O229">
        <v>0</v>
      </c>
      <c r="P229">
        <v>2</v>
      </c>
      <c r="Q229">
        <v>0</v>
      </c>
      <c r="R229">
        <f t="shared" si="6"/>
        <v>3.0885645896069803E-5</v>
      </c>
      <c r="S229" t="s">
        <v>21</v>
      </c>
      <c r="T229">
        <v>23</v>
      </c>
      <c r="U229" t="str">
        <f t="shared" si="7"/>
        <v>Missy Bo Kearns:0</v>
      </c>
      <c r="AR229">
        <v>56</v>
      </c>
    </row>
    <row r="230" spans="1:44" x14ac:dyDescent="0.2">
      <c r="A230" t="s">
        <v>138</v>
      </c>
      <c r="B230" t="s">
        <v>606</v>
      </c>
      <c r="C230" t="s">
        <v>607</v>
      </c>
      <c r="D230" t="s">
        <v>42</v>
      </c>
      <c r="E230" t="s">
        <v>46</v>
      </c>
      <c r="F230">
        <v>19</v>
      </c>
      <c r="G230">
        <v>2003</v>
      </c>
      <c r="H230">
        <v>22</v>
      </c>
      <c r="I230">
        <v>8</v>
      </c>
      <c r="J230">
        <v>834</v>
      </c>
      <c r="K230">
        <v>1</v>
      </c>
      <c r="L230">
        <v>0</v>
      </c>
      <c r="M230">
        <v>1</v>
      </c>
      <c r="N230">
        <v>0</v>
      </c>
      <c r="O230">
        <v>0</v>
      </c>
      <c r="P230">
        <v>0</v>
      </c>
      <c r="Q230">
        <v>0</v>
      </c>
      <c r="R230">
        <f t="shared" si="6"/>
        <v>1.332267519317879E-5</v>
      </c>
      <c r="S230" t="s">
        <v>21</v>
      </c>
      <c r="T230">
        <v>16</v>
      </c>
      <c r="U230" t="str">
        <f t="shared" si="7"/>
        <v>Missy Goodwin:0</v>
      </c>
      <c r="AR230">
        <v>56</v>
      </c>
    </row>
    <row r="231" spans="1:44" x14ac:dyDescent="0.2">
      <c r="A231" t="s">
        <v>49</v>
      </c>
      <c r="B231" t="s">
        <v>606</v>
      </c>
      <c r="C231" t="s">
        <v>607</v>
      </c>
      <c r="D231" t="s">
        <v>50</v>
      </c>
      <c r="E231" t="s">
        <v>30</v>
      </c>
      <c r="F231">
        <v>26</v>
      </c>
      <c r="G231">
        <v>1996</v>
      </c>
      <c r="H231">
        <v>22</v>
      </c>
      <c r="I231">
        <v>22</v>
      </c>
      <c r="J231">
        <v>1956</v>
      </c>
      <c r="K231">
        <v>1</v>
      </c>
      <c r="L231">
        <v>3</v>
      </c>
      <c r="M231">
        <v>1</v>
      </c>
      <c r="N231">
        <v>0</v>
      </c>
      <c r="O231">
        <v>0</v>
      </c>
      <c r="P231">
        <v>3</v>
      </c>
      <c r="Q231">
        <v>0</v>
      </c>
      <c r="R231">
        <f t="shared" si="6"/>
        <v>5.6805271529197917E-6</v>
      </c>
      <c r="S231" t="s">
        <v>21</v>
      </c>
      <c r="T231">
        <v>18</v>
      </c>
      <c r="U231" t="str">
        <f t="shared" si="7"/>
        <v>Molly Bartrip:3</v>
      </c>
      <c r="AR231">
        <v>47</v>
      </c>
    </row>
    <row r="232" spans="1:44" x14ac:dyDescent="0.2">
      <c r="A232" t="s">
        <v>249</v>
      </c>
      <c r="B232" t="s">
        <v>606</v>
      </c>
      <c r="C232" t="s">
        <v>607</v>
      </c>
      <c r="D232" t="s">
        <v>23</v>
      </c>
      <c r="E232" t="s">
        <v>46</v>
      </c>
      <c r="F232">
        <v>21</v>
      </c>
      <c r="G232">
        <v>2001</v>
      </c>
      <c r="H232">
        <v>18</v>
      </c>
      <c r="I232">
        <v>8</v>
      </c>
      <c r="J232">
        <v>864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1</v>
      </c>
      <c r="Q232">
        <v>0</v>
      </c>
      <c r="R232">
        <f t="shared" si="6"/>
        <v>0</v>
      </c>
      <c r="S232" t="s">
        <v>21</v>
      </c>
      <c r="T232">
        <v>16</v>
      </c>
      <c r="U232" t="str">
        <f t="shared" si="7"/>
        <v>Molly Pike:0</v>
      </c>
      <c r="AR232">
        <v>56</v>
      </c>
    </row>
    <row r="233" spans="1:44" x14ac:dyDescent="0.2">
      <c r="A233" t="s">
        <v>263</v>
      </c>
      <c r="B233" t="s">
        <v>606</v>
      </c>
      <c r="C233" t="s">
        <v>607</v>
      </c>
      <c r="D233" t="s">
        <v>23</v>
      </c>
      <c r="E233" t="s">
        <v>46</v>
      </c>
      <c r="F233">
        <v>17</v>
      </c>
      <c r="G233">
        <v>2004</v>
      </c>
      <c r="H233">
        <v>6</v>
      </c>
      <c r="I233">
        <v>0</v>
      </c>
      <c r="J233">
        <v>104</v>
      </c>
      <c r="K233">
        <v>1</v>
      </c>
      <c r="L233">
        <v>0</v>
      </c>
      <c r="M233">
        <v>1</v>
      </c>
      <c r="N233">
        <v>0</v>
      </c>
      <c r="O233">
        <v>0</v>
      </c>
      <c r="P233">
        <v>0</v>
      </c>
      <c r="Q233">
        <v>0</v>
      </c>
      <c r="R233">
        <f t="shared" si="6"/>
        <v>1.0683760683760684E-4</v>
      </c>
      <c r="S233" t="s">
        <v>21</v>
      </c>
      <c r="T233">
        <v>16</v>
      </c>
      <c r="U233" t="str">
        <f t="shared" si="7"/>
        <v>Monique Robinson:0</v>
      </c>
      <c r="AR233">
        <v>37</v>
      </c>
    </row>
    <row r="234" spans="1:44" x14ac:dyDescent="0.2">
      <c r="A234" t="s">
        <v>107</v>
      </c>
      <c r="B234" t="s">
        <v>606</v>
      </c>
      <c r="C234" t="s">
        <v>607</v>
      </c>
      <c r="D234" t="s">
        <v>26</v>
      </c>
      <c r="E234" t="s">
        <v>65</v>
      </c>
      <c r="F234">
        <v>34</v>
      </c>
      <c r="G234">
        <v>1988</v>
      </c>
      <c r="H234">
        <v>7</v>
      </c>
      <c r="I234">
        <v>5</v>
      </c>
      <c r="J234">
        <v>400</v>
      </c>
      <c r="K234">
        <v>2</v>
      </c>
      <c r="L234">
        <v>1</v>
      </c>
      <c r="M234">
        <v>2</v>
      </c>
      <c r="N234">
        <v>0</v>
      </c>
      <c r="O234">
        <v>0</v>
      </c>
      <c r="P234">
        <v>0</v>
      </c>
      <c r="Q234">
        <v>0</v>
      </c>
      <c r="R234">
        <f t="shared" si="6"/>
        <v>5.5555555555555558E-5</v>
      </c>
      <c r="S234" t="s">
        <v>21</v>
      </c>
      <c r="T234">
        <v>23</v>
      </c>
      <c r="U234" t="str">
        <f t="shared" si="7"/>
        <v>Natasha Dowie:1</v>
      </c>
      <c r="AR234">
        <v>23</v>
      </c>
    </row>
    <row r="235" spans="1:44" x14ac:dyDescent="0.2">
      <c r="A235" t="s">
        <v>107</v>
      </c>
      <c r="B235" t="s">
        <v>606</v>
      </c>
      <c r="C235" t="s">
        <v>607</v>
      </c>
      <c r="D235" t="s">
        <v>42</v>
      </c>
      <c r="E235" t="s">
        <v>35</v>
      </c>
      <c r="F235">
        <v>34</v>
      </c>
      <c r="G235">
        <v>1988</v>
      </c>
      <c r="H235">
        <v>10</v>
      </c>
      <c r="I235">
        <v>7</v>
      </c>
      <c r="J235">
        <v>642</v>
      </c>
      <c r="K235">
        <v>1</v>
      </c>
      <c r="L235">
        <v>0</v>
      </c>
      <c r="M235">
        <v>1</v>
      </c>
      <c r="N235">
        <v>0</v>
      </c>
      <c r="O235">
        <v>0</v>
      </c>
      <c r="P235">
        <v>0</v>
      </c>
      <c r="Q235">
        <v>0</v>
      </c>
      <c r="R235">
        <f t="shared" si="6"/>
        <v>1.7307026652821045E-5</v>
      </c>
      <c r="S235" t="s">
        <v>21</v>
      </c>
      <c r="T235">
        <v>11</v>
      </c>
      <c r="U235" t="str">
        <f t="shared" si="7"/>
        <v>Natasha Dowie:0</v>
      </c>
      <c r="AR235">
        <v>16</v>
      </c>
    </row>
    <row r="236" spans="1:44" x14ac:dyDescent="0.2">
      <c r="A236" t="s">
        <v>123</v>
      </c>
      <c r="B236" t="s">
        <v>606</v>
      </c>
      <c r="C236" t="s">
        <v>607</v>
      </c>
      <c r="D236" t="s">
        <v>26</v>
      </c>
      <c r="E236" t="s">
        <v>46</v>
      </c>
      <c r="F236">
        <v>25</v>
      </c>
      <c r="G236">
        <v>1996</v>
      </c>
      <c r="H236">
        <v>9</v>
      </c>
      <c r="I236">
        <v>5</v>
      </c>
      <c r="J236">
        <v>462</v>
      </c>
      <c r="K236">
        <v>1</v>
      </c>
      <c r="L236">
        <v>0</v>
      </c>
      <c r="M236">
        <v>1</v>
      </c>
      <c r="N236">
        <v>0</v>
      </c>
      <c r="O236">
        <v>0</v>
      </c>
      <c r="P236">
        <v>0</v>
      </c>
      <c r="Q236">
        <v>0</v>
      </c>
      <c r="R236">
        <f t="shared" si="6"/>
        <v>2.4050024050024049E-5</v>
      </c>
      <c r="S236" t="s">
        <v>21</v>
      </c>
      <c r="T236">
        <v>16</v>
      </c>
      <c r="U236" t="str">
        <f t="shared" si="7"/>
        <v>Natasha Flint:0</v>
      </c>
      <c r="AR236">
        <v>30</v>
      </c>
    </row>
    <row r="237" spans="1:44" x14ac:dyDescent="0.2">
      <c r="A237" t="s">
        <v>149</v>
      </c>
      <c r="B237" t="s">
        <v>624</v>
      </c>
      <c r="C237" t="s">
        <v>625</v>
      </c>
      <c r="D237" t="s">
        <v>23</v>
      </c>
      <c r="E237" t="s">
        <v>37</v>
      </c>
      <c r="F237">
        <v>33</v>
      </c>
      <c r="G237">
        <v>1989</v>
      </c>
      <c r="H237">
        <v>4</v>
      </c>
      <c r="I237">
        <v>0</v>
      </c>
      <c r="J237">
        <v>99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f t="shared" si="6"/>
        <v>0</v>
      </c>
      <c r="S237" t="s">
        <v>21</v>
      </c>
      <c r="T237">
        <v>37</v>
      </c>
      <c r="U237" t="str">
        <f t="shared" si="7"/>
        <v>Natasha Harding:0</v>
      </c>
      <c r="AR237">
        <v>16</v>
      </c>
    </row>
    <row r="238" spans="1:44" x14ac:dyDescent="0.2">
      <c r="A238" t="s">
        <v>59</v>
      </c>
      <c r="B238" t="s">
        <v>658</v>
      </c>
      <c r="C238" t="s">
        <v>659</v>
      </c>
      <c r="D238" t="s">
        <v>29</v>
      </c>
      <c r="E238" t="s">
        <v>55</v>
      </c>
      <c r="F238">
        <v>25</v>
      </c>
      <c r="G238">
        <v>1997</v>
      </c>
      <c r="H238">
        <v>20</v>
      </c>
      <c r="I238">
        <v>20</v>
      </c>
      <c r="J238">
        <v>1724</v>
      </c>
      <c r="K238">
        <v>0</v>
      </c>
      <c r="L238">
        <v>1</v>
      </c>
      <c r="M238">
        <v>0</v>
      </c>
      <c r="N238">
        <v>0</v>
      </c>
      <c r="O238">
        <v>0</v>
      </c>
      <c r="P238">
        <v>4</v>
      </c>
      <c r="Q238">
        <v>0</v>
      </c>
      <c r="R238">
        <f t="shared" si="6"/>
        <v>0</v>
      </c>
      <c r="S238" t="s">
        <v>21</v>
      </c>
      <c r="T238">
        <v>30</v>
      </c>
      <c r="U238" t="str">
        <f t="shared" si="7"/>
        <v>Nathalie Björn:1</v>
      </c>
      <c r="AR238">
        <v>58</v>
      </c>
    </row>
    <row r="239" spans="1:44" x14ac:dyDescent="0.2">
      <c r="A239" t="s">
        <v>88</v>
      </c>
      <c r="B239" t="s">
        <v>606</v>
      </c>
      <c r="C239" t="s">
        <v>607</v>
      </c>
      <c r="D239" t="s">
        <v>29</v>
      </c>
      <c r="E239" t="s">
        <v>20</v>
      </c>
      <c r="F239">
        <v>23</v>
      </c>
      <c r="G239">
        <v>1999</v>
      </c>
      <c r="H239">
        <v>21</v>
      </c>
      <c r="I239">
        <v>15</v>
      </c>
      <c r="J239">
        <v>1341</v>
      </c>
      <c r="K239">
        <v>4</v>
      </c>
      <c r="L239">
        <v>3</v>
      </c>
      <c r="M239">
        <v>4</v>
      </c>
      <c r="N239">
        <v>0</v>
      </c>
      <c r="O239">
        <v>0</v>
      </c>
      <c r="P239">
        <v>0</v>
      </c>
      <c r="Q239">
        <v>0</v>
      </c>
      <c r="R239">
        <f t="shared" si="6"/>
        <v>3.3142762449250141E-5</v>
      </c>
      <c r="S239" t="s">
        <v>21</v>
      </c>
      <c r="T239">
        <v>58</v>
      </c>
      <c r="U239" t="str">
        <f t="shared" si="7"/>
        <v>Niamh Charles:3</v>
      </c>
      <c r="AR239">
        <v>21</v>
      </c>
    </row>
    <row r="240" spans="1:44" x14ac:dyDescent="0.2">
      <c r="A240" t="s">
        <v>115</v>
      </c>
      <c r="B240" t="s">
        <v>632</v>
      </c>
      <c r="C240" t="s">
        <v>633</v>
      </c>
      <c r="D240" t="s">
        <v>50</v>
      </c>
      <c r="E240" t="s">
        <v>65</v>
      </c>
      <c r="F240">
        <v>34</v>
      </c>
      <c r="G240">
        <v>1987</v>
      </c>
      <c r="H240">
        <v>12</v>
      </c>
      <c r="I240">
        <v>12</v>
      </c>
      <c r="J240">
        <v>988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1</v>
      </c>
      <c r="Q240">
        <v>0</v>
      </c>
      <c r="R240">
        <f t="shared" si="6"/>
        <v>0</v>
      </c>
      <c r="S240" t="s">
        <v>21</v>
      </c>
      <c r="T240">
        <v>23</v>
      </c>
      <c r="U240" t="str">
        <f t="shared" si="7"/>
        <v>Niamh Fahey:0</v>
      </c>
      <c r="AR240">
        <v>23</v>
      </c>
    </row>
    <row r="241" spans="1:44" x14ac:dyDescent="0.2">
      <c r="A241" t="s">
        <v>297</v>
      </c>
      <c r="B241" t="s">
        <v>620</v>
      </c>
      <c r="C241" t="s">
        <v>621</v>
      </c>
      <c r="D241" t="s">
        <v>248</v>
      </c>
      <c r="E241" t="s">
        <v>55</v>
      </c>
      <c r="F241">
        <v>24</v>
      </c>
      <c r="G241">
        <v>1997</v>
      </c>
      <c r="H241">
        <v>15</v>
      </c>
      <c r="I241">
        <v>13</v>
      </c>
      <c r="J241">
        <v>1063</v>
      </c>
      <c r="K241">
        <v>2</v>
      </c>
      <c r="L241">
        <v>4</v>
      </c>
      <c r="M241">
        <v>2</v>
      </c>
      <c r="N241">
        <v>0</v>
      </c>
      <c r="O241">
        <v>0</v>
      </c>
      <c r="P241">
        <v>0</v>
      </c>
      <c r="Q241">
        <v>0</v>
      </c>
      <c r="R241">
        <f t="shared" si="6"/>
        <v>2.0905194940942824E-5</v>
      </c>
      <c r="S241" t="s">
        <v>21</v>
      </c>
      <c r="T241">
        <v>30</v>
      </c>
      <c r="U241" t="str">
        <f t="shared" si="7"/>
        <v>Nicoline Sørensen:4</v>
      </c>
      <c r="AR241">
        <v>47</v>
      </c>
    </row>
    <row r="242" spans="1:44" x14ac:dyDescent="0.2">
      <c r="A242" t="s">
        <v>238</v>
      </c>
      <c r="B242" t="s">
        <v>606</v>
      </c>
      <c r="C242" t="s">
        <v>607</v>
      </c>
      <c r="D242" t="s">
        <v>26</v>
      </c>
      <c r="E242" t="s">
        <v>52</v>
      </c>
      <c r="F242">
        <v>28</v>
      </c>
      <c r="G242">
        <v>1994</v>
      </c>
      <c r="H242">
        <v>21</v>
      </c>
      <c r="I242">
        <v>17</v>
      </c>
      <c r="J242">
        <v>1318</v>
      </c>
      <c r="K242">
        <v>4</v>
      </c>
      <c r="L242">
        <v>1</v>
      </c>
      <c r="M242">
        <v>4</v>
      </c>
      <c r="N242">
        <v>0</v>
      </c>
      <c r="O242">
        <v>0</v>
      </c>
      <c r="P242">
        <v>1</v>
      </c>
      <c r="Q242">
        <v>0</v>
      </c>
      <c r="R242">
        <f t="shared" si="6"/>
        <v>3.372112628561794E-5</v>
      </c>
      <c r="S242" t="s">
        <v>21</v>
      </c>
      <c r="T242">
        <v>56</v>
      </c>
      <c r="U242" t="str">
        <f t="shared" si="7"/>
        <v>Nikita Parris:1</v>
      </c>
      <c r="AR242">
        <v>58</v>
      </c>
    </row>
    <row r="243" spans="1:44" x14ac:dyDescent="0.2">
      <c r="A243" t="s">
        <v>174</v>
      </c>
      <c r="B243" t="s">
        <v>670</v>
      </c>
      <c r="C243" t="s">
        <v>671</v>
      </c>
      <c r="D243" t="s">
        <v>26</v>
      </c>
      <c r="E243" t="s">
        <v>30</v>
      </c>
      <c r="F243">
        <v>22</v>
      </c>
      <c r="G243">
        <v>1999</v>
      </c>
      <c r="H243">
        <v>14</v>
      </c>
      <c r="I243">
        <v>6</v>
      </c>
      <c r="J243">
        <v>498</v>
      </c>
      <c r="K243">
        <v>2</v>
      </c>
      <c r="L243">
        <v>0</v>
      </c>
      <c r="M243">
        <v>2</v>
      </c>
      <c r="N243">
        <v>0</v>
      </c>
      <c r="O243">
        <v>0</v>
      </c>
      <c r="P243">
        <v>1</v>
      </c>
      <c r="Q243">
        <v>0</v>
      </c>
      <c r="R243">
        <f t="shared" si="6"/>
        <v>4.4622936189201242E-5</v>
      </c>
      <c r="S243" t="s">
        <v>21</v>
      </c>
      <c r="T243">
        <v>18</v>
      </c>
      <c r="U243" t="str">
        <f t="shared" si="7"/>
        <v>Nikola Karczewska:0</v>
      </c>
      <c r="AR243">
        <v>56</v>
      </c>
    </row>
    <row r="244" spans="1:44" x14ac:dyDescent="0.2">
      <c r="A244" t="s">
        <v>209</v>
      </c>
      <c r="B244" t="s">
        <v>614</v>
      </c>
      <c r="C244" t="s">
        <v>615</v>
      </c>
      <c r="D244" t="s">
        <v>50</v>
      </c>
      <c r="E244" t="s">
        <v>27</v>
      </c>
      <c r="F244">
        <v>26</v>
      </c>
      <c r="G244">
        <v>1995</v>
      </c>
      <c r="H244">
        <v>17</v>
      </c>
      <c r="I244">
        <v>13</v>
      </c>
      <c r="J244">
        <v>1134</v>
      </c>
      <c r="K244">
        <v>0</v>
      </c>
      <c r="L244">
        <v>2</v>
      </c>
      <c r="M244">
        <v>0</v>
      </c>
      <c r="N244">
        <v>0</v>
      </c>
      <c r="O244">
        <v>0</v>
      </c>
      <c r="P244">
        <v>1</v>
      </c>
      <c r="Q244">
        <v>0</v>
      </c>
      <c r="R244">
        <f t="shared" si="6"/>
        <v>0</v>
      </c>
      <c r="S244" t="s">
        <v>21</v>
      </c>
      <c r="T244">
        <v>47</v>
      </c>
      <c r="U244" t="str">
        <f t="shared" si="7"/>
        <v>Noelle Maritz:2</v>
      </c>
      <c r="AR244">
        <v>23</v>
      </c>
    </row>
    <row r="245" spans="1:44" x14ac:dyDescent="0.2">
      <c r="A245" t="s">
        <v>214</v>
      </c>
      <c r="B245" t="s">
        <v>606</v>
      </c>
      <c r="C245" t="s">
        <v>607</v>
      </c>
      <c r="D245" t="s">
        <v>34</v>
      </c>
      <c r="E245" t="s">
        <v>37</v>
      </c>
      <c r="F245">
        <v>17</v>
      </c>
      <c r="G245">
        <v>2004</v>
      </c>
      <c r="H245">
        <v>7</v>
      </c>
      <c r="I245">
        <v>1</v>
      </c>
      <c r="J245">
        <v>97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f t="shared" si="6"/>
        <v>0</v>
      </c>
      <c r="S245" t="s">
        <v>21</v>
      </c>
      <c r="T245">
        <v>37</v>
      </c>
      <c r="U245" t="str">
        <f t="shared" si="7"/>
        <v>Olivia McLoughlin:0</v>
      </c>
      <c r="AR245">
        <v>23</v>
      </c>
    </row>
    <row r="246" spans="1:44" x14ac:dyDescent="0.2">
      <c r="A246" t="s">
        <v>51</v>
      </c>
      <c r="B246" t="s">
        <v>666</v>
      </c>
      <c r="C246" t="s">
        <v>667</v>
      </c>
      <c r="D246" t="s">
        <v>50</v>
      </c>
      <c r="E246" t="s">
        <v>52</v>
      </c>
      <c r="F246">
        <v>23</v>
      </c>
      <c r="G246">
        <v>1999</v>
      </c>
      <c r="H246">
        <v>19</v>
      </c>
      <c r="I246">
        <v>19</v>
      </c>
      <c r="J246">
        <v>1709</v>
      </c>
      <c r="K246">
        <v>1</v>
      </c>
      <c r="L246">
        <v>9</v>
      </c>
      <c r="M246">
        <v>1</v>
      </c>
      <c r="N246">
        <v>0</v>
      </c>
      <c r="O246">
        <v>0</v>
      </c>
      <c r="P246">
        <v>1</v>
      </c>
      <c r="Q246">
        <v>0</v>
      </c>
      <c r="R246">
        <f t="shared" si="6"/>
        <v>6.5015278590468764E-6</v>
      </c>
      <c r="S246" t="s">
        <v>21</v>
      </c>
      <c r="T246">
        <v>56</v>
      </c>
      <c r="U246" t="str">
        <f t="shared" si="7"/>
        <v>Ona Batlle:9</v>
      </c>
      <c r="AR246">
        <v>23</v>
      </c>
    </row>
    <row r="247" spans="1:44" x14ac:dyDescent="0.2">
      <c r="A247" t="s">
        <v>333</v>
      </c>
      <c r="B247" t="s">
        <v>640</v>
      </c>
      <c r="C247" t="s">
        <v>641</v>
      </c>
      <c r="D247" t="s">
        <v>42</v>
      </c>
      <c r="E247" t="s">
        <v>48</v>
      </c>
      <c r="F247">
        <v>25</v>
      </c>
      <c r="G247">
        <v>1996</v>
      </c>
      <c r="H247">
        <v>4</v>
      </c>
      <c r="I247">
        <v>0</v>
      </c>
      <c r="J247">
        <v>38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f t="shared" si="6"/>
        <v>0</v>
      </c>
      <c r="S247" t="s">
        <v>21</v>
      </c>
      <c r="T247">
        <v>16</v>
      </c>
      <c r="U247" t="str">
        <f t="shared" si="7"/>
        <v>Park Yeeun:0</v>
      </c>
      <c r="AR247">
        <v>16</v>
      </c>
    </row>
    <row r="248" spans="1:44" x14ac:dyDescent="0.2">
      <c r="A248" t="s">
        <v>148</v>
      </c>
      <c r="B248" t="s">
        <v>620</v>
      </c>
      <c r="C248" t="s">
        <v>621</v>
      </c>
      <c r="D248" t="s">
        <v>42</v>
      </c>
      <c r="E248" t="s">
        <v>20</v>
      </c>
      <c r="F248">
        <v>29</v>
      </c>
      <c r="G248">
        <v>1992</v>
      </c>
      <c r="H248">
        <v>10</v>
      </c>
      <c r="I248">
        <v>7</v>
      </c>
      <c r="J248">
        <v>604</v>
      </c>
      <c r="K248">
        <v>8</v>
      </c>
      <c r="L248">
        <v>3</v>
      </c>
      <c r="M248">
        <v>7</v>
      </c>
      <c r="N248">
        <v>1</v>
      </c>
      <c r="O248">
        <v>1</v>
      </c>
      <c r="P248">
        <v>0</v>
      </c>
      <c r="Q248">
        <v>0</v>
      </c>
      <c r="R248">
        <f t="shared" si="6"/>
        <v>1.4716703458425313E-4</v>
      </c>
      <c r="S248" t="s">
        <v>21</v>
      </c>
      <c r="T248">
        <v>58</v>
      </c>
      <c r="U248" t="str">
        <f t="shared" si="7"/>
        <v>Pernille Harder:3</v>
      </c>
      <c r="AR248">
        <v>18</v>
      </c>
    </row>
    <row r="249" spans="1:44" x14ac:dyDescent="0.2">
      <c r="A249" t="s">
        <v>240</v>
      </c>
      <c r="B249" t="s">
        <v>606</v>
      </c>
      <c r="C249" t="s">
        <v>607</v>
      </c>
      <c r="D249" t="s">
        <v>50</v>
      </c>
      <c r="E249" t="s">
        <v>48</v>
      </c>
      <c r="F249">
        <v>22</v>
      </c>
      <c r="G249">
        <v>2000</v>
      </c>
      <c r="H249">
        <v>21</v>
      </c>
      <c r="I249">
        <v>17</v>
      </c>
      <c r="J249">
        <v>1540</v>
      </c>
      <c r="K249">
        <v>0</v>
      </c>
      <c r="L249">
        <v>1</v>
      </c>
      <c r="M249">
        <v>0</v>
      </c>
      <c r="N249">
        <v>0</v>
      </c>
      <c r="O249">
        <v>0</v>
      </c>
      <c r="P249">
        <v>2</v>
      </c>
      <c r="Q249">
        <v>0</v>
      </c>
      <c r="R249">
        <f t="shared" si="6"/>
        <v>0</v>
      </c>
      <c r="S249" t="s">
        <v>21</v>
      </c>
      <c r="T249">
        <v>16</v>
      </c>
      <c r="U249" t="str">
        <f t="shared" si="7"/>
        <v>Poppy Pattinson:1</v>
      </c>
      <c r="AR249">
        <v>18</v>
      </c>
    </row>
    <row r="250" spans="1:44" x14ac:dyDescent="0.2">
      <c r="A250" t="s">
        <v>22</v>
      </c>
      <c r="D250" t="s">
        <v>23</v>
      </c>
      <c r="E250" t="s">
        <v>24</v>
      </c>
      <c r="H250">
        <v>2</v>
      </c>
      <c r="I250">
        <v>0</v>
      </c>
      <c r="J250">
        <v>10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f t="shared" si="6"/>
        <v>0</v>
      </c>
      <c r="S250" t="s">
        <v>21</v>
      </c>
      <c r="T250">
        <v>21</v>
      </c>
      <c r="U250" t="str">
        <f t="shared" si="7"/>
        <v>Princess Ademiluyi:0</v>
      </c>
      <c r="AR250">
        <v>16</v>
      </c>
    </row>
    <row r="251" spans="1:44" x14ac:dyDescent="0.2">
      <c r="A251" t="s">
        <v>191</v>
      </c>
      <c r="B251" t="s">
        <v>606</v>
      </c>
      <c r="C251" t="s">
        <v>607</v>
      </c>
      <c r="D251" t="s">
        <v>40</v>
      </c>
      <c r="E251" t="s">
        <v>65</v>
      </c>
      <c r="F251">
        <v>31</v>
      </c>
      <c r="G251">
        <v>1990</v>
      </c>
      <c r="H251">
        <v>17</v>
      </c>
      <c r="I251">
        <v>17</v>
      </c>
      <c r="J251">
        <v>1530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1</v>
      </c>
      <c r="Q251">
        <v>0</v>
      </c>
      <c r="R251">
        <f t="shared" si="6"/>
        <v>0</v>
      </c>
      <c r="S251" t="s">
        <v>21</v>
      </c>
      <c r="T251">
        <v>23</v>
      </c>
      <c r="U251" t="str">
        <f t="shared" si="7"/>
        <v>Rachael Laws:0</v>
      </c>
      <c r="AR251">
        <v>16</v>
      </c>
    </row>
    <row r="252" spans="1:44" x14ac:dyDescent="0.2">
      <c r="A252" t="s">
        <v>98</v>
      </c>
      <c r="B252" t="s">
        <v>652</v>
      </c>
      <c r="C252" t="s">
        <v>653</v>
      </c>
      <c r="D252" t="s">
        <v>94</v>
      </c>
      <c r="E252" t="s">
        <v>37</v>
      </c>
      <c r="F252">
        <v>32</v>
      </c>
      <c r="G252">
        <v>1989</v>
      </c>
      <c r="H252">
        <v>15</v>
      </c>
      <c r="I252">
        <v>12</v>
      </c>
      <c r="J252">
        <v>1166</v>
      </c>
      <c r="K252">
        <v>0</v>
      </c>
      <c r="L252">
        <v>1</v>
      </c>
      <c r="M252">
        <v>0</v>
      </c>
      <c r="N252">
        <v>0</v>
      </c>
      <c r="O252">
        <v>0</v>
      </c>
      <c r="P252">
        <v>1</v>
      </c>
      <c r="Q252">
        <v>0</v>
      </c>
      <c r="R252">
        <f t="shared" si="6"/>
        <v>0</v>
      </c>
      <c r="S252" t="s">
        <v>21</v>
      </c>
      <c r="T252">
        <v>37</v>
      </c>
      <c r="U252" t="str">
        <f t="shared" si="7"/>
        <v>Rachel Corsie:1</v>
      </c>
      <c r="AR252">
        <v>23</v>
      </c>
    </row>
    <row r="253" spans="1:44" x14ac:dyDescent="0.2">
      <c r="A253" t="s">
        <v>104</v>
      </c>
      <c r="B253" t="s">
        <v>606</v>
      </c>
      <c r="C253" t="s">
        <v>607</v>
      </c>
      <c r="D253" t="s">
        <v>26</v>
      </c>
      <c r="E253" t="s">
        <v>37</v>
      </c>
      <c r="F253">
        <v>30</v>
      </c>
      <c r="G253">
        <v>1991</v>
      </c>
      <c r="H253">
        <v>22</v>
      </c>
      <c r="I253">
        <v>22</v>
      </c>
      <c r="J253">
        <v>1956</v>
      </c>
      <c r="K253">
        <v>22</v>
      </c>
      <c r="L253">
        <v>6</v>
      </c>
      <c r="M253">
        <v>19</v>
      </c>
      <c r="N253">
        <v>3</v>
      </c>
      <c r="O253">
        <v>3</v>
      </c>
      <c r="P253">
        <v>2</v>
      </c>
      <c r="Q253">
        <v>0</v>
      </c>
      <c r="R253">
        <f t="shared" si="6"/>
        <v>1.249715973642354E-4</v>
      </c>
      <c r="S253" t="s">
        <v>21</v>
      </c>
      <c r="T253">
        <v>37</v>
      </c>
      <c r="U253" t="str">
        <f t="shared" si="7"/>
        <v>Rachel Daly:6</v>
      </c>
      <c r="AR253">
        <v>11</v>
      </c>
    </row>
    <row r="254" spans="1:44" x14ac:dyDescent="0.2">
      <c r="A254" t="s">
        <v>127</v>
      </c>
      <c r="B254" t="s">
        <v>646</v>
      </c>
      <c r="C254" t="s">
        <v>647</v>
      </c>
      <c r="D254" t="s">
        <v>34</v>
      </c>
      <c r="E254" t="s">
        <v>65</v>
      </c>
      <c r="F254">
        <v>34</v>
      </c>
      <c r="G254">
        <v>1988</v>
      </c>
      <c r="H254">
        <v>9</v>
      </c>
      <c r="I254">
        <v>4</v>
      </c>
      <c r="J254">
        <v>385</v>
      </c>
      <c r="K254">
        <v>1</v>
      </c>
      <c r="L254">
        <v>0</v>
      </c>
      <c r="M254">
        <v>1</v>
      </c>
      <c r="N254">
        <v>0</v>
      </c>
      <c r="O254">
        <v>0</v>
      </c>
      <c r="P254">
        <v>1</v>
      </c>
      <c r="Q254">
        <v>0</v>
      </c>
      <c r="R254">
        <f t="shared" si="6"/>
        <v>2.886002886002886E-5</v>
      </c>
      <c r="S254" t="s">
        <v>21</v>
      </c>
      <c r="T254">
        <v>23</v>
      </c>
      <c r="U254" t="str">
        <f t="shared" si="7"/>
        <v>Rachel Furness:0</v>
      </c>
      <c r="AR254">
        <v>16</v>
      </c>
    </row>
    <row r="255" spans="1:44" x14ac:dyDescent="0.2">
      <c r="A255" t="s">
        <v>266</v>
      </c>
      <c r="B255" t="s">
        <v>624</v>
      </c>
      <c r="C255" t="s">
        <v>625</v>
      </c>
      <c r="D255" t="s">
        <v>23</v>
      </c>
      <c r="E255" t="s">
        <v>35</v>
      </c>
      <c r="F255">
        <v>29</v>
      </c>
      <c r="G255">
        <v>1992</v>
      </c>
      <c r="H255">
        <v>18</v>
      </c>
      <c r="I255">
        <v>17</v>
      </c>
      <c r="J255">
        <v>1559</v>
      </c>
      <c r="K255">
        <v>3</v>
      </c>
      <c r="L255">
        <v>1</v>
      </c>
      <c r="M255">
        <v>3</v>
      </c>
      <c r="N255">
        <v>0</v>
      </c>
      <c r="O255">
        <v>0</v>
      </c>
      <c r="P255">
        <v>2</v>
      </c>
      <c r="Q255">
        <v>0</v>
      </c>
      <c r="R255">
        <f t="shared" si="6"/>
        <v>2.1381227282446011E-5</v>
      </c>
      <c r="S255" t="s">
        <v>21</v>
      </c>
      <c r="T255">
        <v>11</v>
      </c>
      <c r="U255" t="str">
        <f t="shared" si="7"/>
        <v>Rachel Rowe:1</v>
      </c>
      <c r="AR255">
        <v>37</v>
      </c>
    </row>
    <row r="256" spans="1:44" x14ac:dyDescent="0.2">
      <c r="A256" t="s">
        <v>328</v>
      </c>
      <c r="B256" t="s">
        <v>606</v>
      </c>
      <c r="C256" t="s">
        <v>607</v>
      </c>
      <c r="D256" t="s">
        <v>42</v>
      </c>
      <c r="E256" t="s">
        <v>52</v>
      </c>
      <c r="F256">
        <v>34</v>
      </c>
      <c r="G256">
        <v>1988</v>
      </c>
      <c r="H256">
        <v>17</v>
      </c>
      <c r="I256">
        <v>0</v>
      </c>
      <c r="J256">
        <v>268</v>
      </c>
      <c r="K256">
        <v>4</v>
      </c>
      <c r="L256">
        <v>0</v>
      </c>
      <c r="M256">
        <v>4</v>
      </c>
      <c r="N256">
        <v>0</v>
      </c>
      <c r="O256">
        <v>0</v>
      </c>
      <c r="P256">
        <v>0</v>
      </c>
      <c r="Q256">
        <v>0</v>
      </c>
      <c r="R256">
        <f t="shared" si="6"/>
        <v>1.6583747927031509E-4</v>
      </c>
      <c r="S256" t="s">
        <v>21</v>
      </c>
      <c r="T256">
        <v>56</v>
      </c>
      <c r="U256" t="str">
        <f t="shared" si="7"/>
        <v>Rachel Williams:0</v>
      </c>
      <c r="AR256">
        <v>30</v>
      </c>
    </row>
    <row r="257" spans="1:44" x14ac:dyDescent="0.2">
      <c r="A257" t="s">
        <v>254</v>
      </c>
      <c r="B257" t="s">
        <v>662</v>
      </c>
      <c r="C257" t="s">
        <v>663</v>
      </c>
      <c r="D257" t="s">
        <v>50</v>
      </c>
      <c r="E257" t="s">
        <v>27</v>
      </c>
      <c r="F257">
        <v>31</v>
      </c>
      <c r="G257">
        <v>1991</v>
      </c>
      <c r="H257">
        <v>16</v>
      </c>
      <c r="I257">
        <v>15</v>
      </c>
      <c r="J257">
        <v>1249</v>
      </c>
      <c r="K257">
        <v>2</v>
      </c>
      <c r="L257">
        <v>0</v>
      </c>
      <c r="M257">
        <v>2</v>
      </c>
      <c r="N257">
        <v>0</v>
      </c>
      <c r="O257">
        <v>0</v>
      </c>
      <c r="P257">
        <v>0</v>
      </c>
      <c r="Q257">
        <v>0</v>
      </c>
      <c r="R257">
        <f t="shared" si="6"/>
        <v>1.7792011386887288E-5</v>
      </c>
      <c r="S257" t="s">
        <v>21</v>
      </c>
      <c r="T257">
        <v>47</v>
      </c>
      <c r="U257" t="str">
        <f t="shared" si="7"/>
        <v>Rafaelle:0</v>
      </c>
      <c r="AR257">
        <v>30</v>
      </c>
    </row>
    <row r="258" spans="1:44" x14ac:dyDescent="0.2">
      <c r="A258" t="s">
        <v>247</v>
      </c>
      <c r="B258" t="s">
        <v>630</v>
      </c>
      <c r="C258" t="s">
        <v>631</v>
      </c>
      <c r="D258" t="s">
        <v>248</v>
      </c>
      <c r="E258" t="s">
        <v>30</v>
      </c>
      <c r="F258">
        <v>29</v>
      </c>
      <c r="G258">
        <v>1992</v>
      </c>
      <c r="H258">
        <v>2</v>
      </c>
      <c r="I258">
        <v>0</v>
      </c>
      <c r="J258">
        <v>42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f t="shared" si="6"/>
        <v>0</v>
      </c>
      <c r="S258" t="s">
        <v>21</v>
      </c>
      <c r="T258">
        <v>18</v>
      </c>
      <c r="U258" t="str">
        <f t="shared" si="7"/>
        <v>Ramona Petzelberger:0</v>
      </c>
      <c r="AR258">
        <v>58</v>
      </c>
    </row>
    <row r="259" spans="1:44" x14ac:dyDescent="0.2">
      <c r="A259" t="s">
        <v>171</v>
      </c>
      <c r="B259" t="s">
        <v>606</v>
      </c>
      <c r="C259" t="s">
        <v>607</v>
      </c>
      <c r="D259" t="s">
        <v>34</v>
      </c>
      <c r="E259" t="s">
        <v>35</v>
      </c>
      <c r="F259">
        <v>30</v>
      </c>
      <c r="G259">
        <v>1992</v>
      </c>
      <c r="H259">
        <v>1</v>
      </c>
      <c r="I259">
        <v>0</v>
      </c>
      <c r="J259">
        <v>1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f t="shared" ref="R259:R322" si="8">K259/J259/90</f>
        <v>0</v>
      </c>
      <c r="S259" t="s">
        <v>21</v>
      </c>
      <c r="T259">
        <v>11</v>
      </c>
      <c r="U259" t="str">
        <f t="shared" ref="U259:U322" si="9">CONCATENATE(A259, ":", L259)</f>
        <v>Rebecca Jane:0</v>
      </c>
      <c r="AR259">
        <v>23</v>
      </c>
    </row>
    <row r="260" spans="1:44" x14ac:dyDescent="0.2">
      <c r="A260" t="s">
        <v>286</v>
      </c>
      <c r="B260" t="s">
        <v>650</v>
      </c>
      <c r="C260" t="s">
        <v>651</v>
      </c>
      <c r="D260" t="s">
        <v>40</v>
      </c>
      <c r="E260" t="s">
        <v>30</v>
      </c>
      <c r="F260">
        <v>31</v>
      </c>
      <c r="G260">
        <v>1991</v>
      </c>
      <c r="H260">
        <v>11</v>
      </c>
      <c r="I260">
        <v>11</v>
      </c>
      <c r="J260">
        <v>990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1</v>
      </c>
      <c r="Q260">
        <v>0</v>
      </c>
      <c r="R260">
        <f t="shared" si="8"/>
        <v>0</v>
      </c>
      <c r="S260" t="s">
        <v>21</v>
      </c>
      <c r="T260">
        <v>18</v>
      </c>
      <c r="U260" t="str">
        <f t="shared" si="9"/>
        <v>Rebecca Spencer:0</v>
      </c>
      <c r="AR260">
        <v>30</v>
      </c>
    </row>
    <row r="261" spans="1:44" x14ac:dyDescent="0.2">
      <c r="A261" t="s">
        <v>292</v>
      </c>
      <c r="B261" t="s">
        <v>628</v>
      </c>
      <c r="C261" t="s">
        <v>629</v>
      </c>
      <c r="D261" t="s">
        <v>50</v>
      </c>
      <c r="E261" t="s">
        <v>48</v>
      </c>
      <c r="F261">
        <v>29</v>
      </c>
      <c r="G261">
        <v>1993</v>
      </c>
      <c r="H261">
        <v>5</v>
      </c>
      <c r="I261">
        <v>4</v>
      </c>
      <c r="J261">
        <v>325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f t="shared" si="8"/>
        <v>0</v>
      </c>
      <c r="S261" t="s">
        <v>21</v>
      </c>
      <c r="T261">
        <v>16</v>
      </c>
      <c r="U261" t="str">
        <f t="shared" si="9"/>
        <v>Rebekah Stott:0</v>
      </c>
      <c r="AR261">
        <v>56</v>
      </c>
    </row>
    <row r="262" spans="1:44" x14ac:dyDescent="0.2">
      <c r="A262" t="s">
        <v>36</v>
      </c>
      <c r="B262" t="s">
        <v>606</v>
      </c>
      <c r="C262" t="s">
        <v>607</v>
      </c>
      <c r="D262" t="s">
        <v>34</v>
      </c>
      <c r="E262" t="s">
        <v>37</v>
      </c>
      <c r="F262">
        <v>31</v>
      </c>
      <c r="G262">
        <v>1990</v>
      </c>
      <c r="H262">
        <v>3</v>
      </c>
      <c r="I262">
        <v>1</v>
      </c>
      <c r="J262">
        <v>168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1</v>
      </c>
      <c r="Q262">
        <v>0</v>
      </c>
      <c r="R262">
        <f t="shared" si="8"/>
        <v>0</v>
      </c>
      <c r="S262" t="s">
        <v>21</v>
      </c>
      <c r="T262">
        <v>37</v>
      </c>
      <c r="U262" t="str">
        <f t="shared" si="9"/>
        <v>Remi Allen:0</v>
      </c>
      <c r="AR262">
        <v>18</v>
      </c>
    </row>
    <row r="263" spans="1:44" x14ac:dyDescent="0.2">
      <c r="A263" t="s">
        <v>275</v>
      </c>
      <c r="B263" t="s">
        <v>612</v>
      </c>
      <c r="C263" t="s">
        <v>613</v>
      </c>
      <c r="D263" t="s">
        <v>42</v>
      </c>
      <c r="E263" t="s">
        <v>46</v>
      </c>
      <c r="F263">
        <v>22</v>
      </c>
      <c r="G263">
        <v>1999</v>
      </c>
      <c r="H263">
        <v>10</v>
      </c>
      <c r="I263">
        <v>7</v>
      </c>
      <c r="J263">
        <v>561</v>
      </c>
      <c r="K263">
        <v>1</v>
      </c>
      <c r="L263">
        <v>1</v>
      </c>
      <c r="M263">
        <v>1</v>
      </c>
      <c r="N263">
        <v>0</v>
      </c>
      <c r="O263">
        <v>0</v>
      </c>
      <c r="P263">
        <v>0</v>
      </c>
      <c r="Q263">
        <v>0</v>
      </c>
      <c r="R263">
        <f t="shared" si="8"/>
        <v>1.9805902158843335E-5</v>
      </c>
      <c r="S263" t="s">
        <v>21</v>
      </c>
      <c r="T263">
        <v>16</v>
      </c>
      <c r="U263" t="str">
        <f t="shared" si="9"/>
        <v>Remy Siemsen:1</v>
      </c>
      <c r="AR263">
        <v>47</v>
      </c>
    </row>
    <row r="264" spans="1:44" x14ac:dyDescent="0.2">
      <c r="A264" t="s">
        <v>261</v>
      </c>
      <c r="B264" t="s">
        <v>624</v>
      </c>
      <c r="C264" t="s">
        <v>625</v>
      </c>
      <c r="D264" t="s">
        <v>29</v>
      </c>
      <c r="E264" t="s">
        <v>65</v>
      </c>
      <c r="F264">
        <v>31</v>
      </c>
      <c r="G264">
        <v>1990</v>
      </c>
      <c r="H264">
        <v>19</v>
      </c>
      <c r="I264">
        <v>3</v>
      </c>
      <c r="J264">
        <v>492</v>
      </c>
      <c r="K264">
        <v>1</v>
      </c>
      <c r="L264">
        <v>0</v>
      </c>
      <c r="M264">
        <v>1</v>
      </c>
      <c r="N264">
        <v>0</v>
      </c>
      <c r="O264">
        <v>0</v>
      </c>
      <c r="P264">
        <v>0</v>
      </c>
      <c r="Q264">
        <v>0</v>
      </c>
      <c r="R264">
        <f t="shared" si="8"/>
        <v>2.2583559168925024E-5</v>
      </c>
      <c r="S264" t="s">
        <v>21</v>
      </c>
      <c r="T264">
        <v>23</v>
      </c>
      <c r="U264" t="str">
        <f t="shared" si="9"/>
        <v>Rhiannon Roberts:0</v>
      </c>
      <c r="AR264">
        <v>37</v>
      </c>
    </row>
    <row r="265" spans="1:44" x14ac:dyDescent="0.2">
      <c r="A265" t="s">
        <v>244</v>
      </c>
      <c r="B265" t="s">
        <v>628</v>
      </c>
      <c r="C265" t="s">
        <v>629</v>
      </c>
      <c r="D265" t="s">
        <v>42</v>
      </c>
      <c r="E265" t="s">
        <v>30</v>
      </c>
      <c r="F265">
        <v>32</v>
      </c>
      <c r="G265">
        <v>1989</v>
      </c>
      <c r="H265">
        <v>4</v>
      </c>
      <c r="I265">
        <v>0</v>
      </c>
      <c r="J265">
        <v>56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f t="shared" si="8"/>
        <v>0</v>
      </c>
      <c r="S265" t="s">
        <v>21</v>
      </c>
      <c r="T265">
        <v>18</v>
      </c>
      <c r="U265" t="str">
        <f t="shared" si="9"/>
        <v>Ria Percival:0</v>
      </c>
      <c r="AR265">
        <v>56</v>
      </c>
    </row>
    <row r="266" spans="1:44" x14ac:dyDescent="0.2">
      <c r="A266" t="s">
        <v>272</v>
      </c>
      <c r="B266" t="s">
        <v>620</v>
      </c>
      <c r="C266" t="s">
        <v>621</v>
      </c>
      <c r="D266" t="s">
        <v>50</v>
      </c>
      <c r="E266" t="s">
        <v>55</v>
      </c>
      <c r="F266">
        <v>26</v>
      </c>
      <c r="G266">
        <v>1996</v>
      </c>
      <c r="H266">
        <v>21</v>
      </c>
      <c r="I266">
        <v>17</v>
      </c>
      <c r="J266">
        <v>1660</v>
      </c>
      <c r="K266">
        <v>1</v>
      </c>
      <c r="L266">
        <v>0</v>
      </c>
      <c r="M266">
        <v>1</v>
      </c>
      <c r="N266">
        <v>0</v>
      </c>
      <c r="O266">
        <v>0</v>
      </c>
      <c r="P266">
        <v>1</v>
      </c>
      <c r="Q266">
        <v>0</v>
      </c>
      <c r="R266">
        <f t="shared" si="8"/>
        <v>6.693440428380188E-6</v>
      </c>
      <c r="S266" t="s">
        <v>21</v>
      </c>
      <c r="T266">
        <v>30</v>
      </c>
      <c r="U266" t="str">
        <f t="shared" si="9"/>
        <v>Rikke Sevecke:0</v>
      </c>
      <c r="AR266">
        <v>56</v>
      </c>
    </row>
    <row r="267" spans="1:44" x14ac:dyDescent="0.2">
      <c r="A267" t="s">
        <v>274</v>
      </c>
      <c r="B267" t="s">
        <v>660</v>
      </c>
      <c r="C267" t="s">
        <v>661</v>
      </c>
      <c r="D267" t="s">
        <v>50</v>
      </c>
      <c r="E267" t="s">
        <v>24</v>
      </c>
      <c r="F267">
        <v>26</v>
      </c>
      <c r="G267">
        <v>1996</v>
      </c>
      <c r="H267">
        <v>22</v>
      </c>
      <c r="I267">
        <v>21</v>
      </c>
      <c r="J267">
        <v>1898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f t="shared" si="8"/>
        <v>0</v>
      </c>
      <c r="S267" t="s">
        <v>21</v>
      </c>
      <c r="T267">
        <v>21</v>
      </c>
      <c r="U267" t="str">
        <f t="shared" si="9"/>
        <v>Risa Shimizu:0</v>
      </c>
      <c r="AR267">
        <v>16</v>
      </c>
    </row>
    <row r="268" spans="1:44" x14ac:dyDescent="0.2">
      <c r="A268" t="s">
        <v>44</v>
      </c>
      <c r="B268" t="s">
        <v>672</v>
      </c>
      <c r="C268" t="s">
        <v>673</v>
      </c>
      <c r="D268" t="s">
        <v>23</v>
      </c>
      <c r="E268" t="s">
        <v>30</v>
      </c>
      <c r="F268">
        <v>26</v>
      </c>
      <c r="G268">
        <v>1996</v>
      </c>
      <c r="H268">
        <v>19</v>
      </c>
      <c r="I268">
        <v>13</v>
      </c>
      <c r="J268">
        <v>1093</v>
      </c>
      <c r="K268">
        <v>1</v>
      </c>
      <c r="L268">
        <v>4</v>
      </c>
      <c r="M268">
        <v>1</v>
      </c>
      <c r="N268">
        <v>0</v>
      </c>
      <c r="O268">
        <v>0</v>
      </c>
      <c r="P268">
        <v>1</v>
      </c>
      <c r="Q268">
        <v>0</v>
      </c>
      <c r="R268">
        <f t="shared" si="8"/>
        <v>1.0165700925078785E-5</v>
      </c>
      <c r="S268" t="s">
        <v>21</v>
      </c>
      <c r="T268">
        <v>18</v>
      </c>
      <c r="U268" t="str">
        <f t="shared" si="9"/>
        <v>Rosella Ayane:4</v>
      </c>
      <c r="AR268">
        <v>58</v>
      </c>
    </row>
    <row r="269" spans="1:44" x14ac:dyDescent="0.2">
      <c r="A269" t="s">
        <v>204</v>
      </c>
      <c r="B269" t="s">
        <v>606</v>
      </c>
      <c r="C269" t="s">
        <v>607</v>
      </c>
      <c r="D269" t="s">
        <v>34</v>
      </c>
      <c r="E269" t="s">
        <v>46</v>
      </c>
      <c r="F269">
        <v>18</v>
      </c>
      <c r="G269">
        <v>2003</v>
      </c>
      <c r="H269">
        <v>10</v>
      </c>
      <c r="I269">
        <v>10</v>
      </c>
      <c r="J269">
        <v>899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5</v>
      </c>
      <c r="Q269">
        <v>1</v>
      </c>
      <c r="R269">
        <f t="shared" si="8"/>
        <v>0</v>
      </c>
      <c r="S269" t="s">
        <v>21</v>
      </c>
      <c r="T269">
        <v>16</v>
      </c>
      <c r="U269" t="str">
        <f t="shared" si="9"/>
        <v>Ruby Mace:0</v>
      </c>
      <c r="AR269">
        <v>16</v>
      </c>
    </row>
    <row r="270" spans="1:44" x14ac:dyDescent="0.2">
      <c r="A270" t="s">
        <v>204</v>
      </c>
      <c r="B270" t="s">
        <v>606</v>
      </c>
      <c r="C270" t="s">
        <v>607</v>
      </c>
      <c r="D270" t="s">
        <v>34</v>
      </c>
      <c r="E270" t="s">
        <v>32</v>
      </c>
      <c r="F270">
        <v>18</v>
      </c>
      <c r="G270">
        <v>2003</v>
      </c>
      <c r="H270">
        <v>1</v>
      </c>
      <c r="I270">
        <v>0</v>
      </c>
      <c r="J270">
        <v>18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f t="shared" si="8"/>
        <v>0</v>
      </c>
      <c r="S270" t="s">
        <v>21</v>
      </c>
      <c r="T270">
        <v>47</v>
      </c>
      <c r="U270" t="str">
        <f t="shared" si="9"/>
        <v>Ruby Mace:0</v>
      </c>
      <c r="AR270">
        <v>21</v>
      </c>
    </row>
    <row r="271" spans="1:44" x14ac:dyDescent="0.2">
      <c r="A271" t="s">
        <v>200</v>
      </c>
      <c r="B271" t="s">
        <v>632</v>
      </c>
      <c r="C271" t="s">
        <v>633</v>
      </c>
      <c r="D271" t="s">
        <v>34</v>
      </c>
      <c r="E271" t="s">
        <v>37</v>
      </c>
      <c r="F271">
        <v>32</v>
      </c>
      <c r="G271">
        <v>1990</v>
      </c>
      <c r="H271">
        <v>8</v>
      </c>
      <c r="I271">
        <v>1</v>
      </c>
      <c r="J271">
        <v>161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2</v>
      </c>
      <c r="Q271">
        <v>0</v>
      </c>
      <c r="R271">
        <f t="shared" si="8"/>
        <v>0</v>
      </c>
      <c r="S271" t="s">
        <v>21</v>
      </c>
      <c r="T271">
        <v>37</v>
      </c>
      <c r="U271" t="str">
        <f t="shared" si="9"/>
        <v>Ruesha Littlejohn:0</v>
      </c>
      <c r="AR271">
        <v>23</v>
      </c>
    </row>
    <row r="272" spans="1:44" x14ac:dyDescent="0.2">
      <c r="A272" t="s">
        <v>101</v>
      </c>
      <c r="B272" t="s">
        <v>608</v>
      </c>
      <c r="C272" t="s">
        <v>609</v>
      </c>
      <c r="D272" t="s">
        <v>40</v>
      </c>
      <c r="E272" t="s">
        <v>27</v>
      </c>
      <c r="F272">
        <v>29</v>
      </c>
      <c r="G272">
        <v>1993</v>
      </c>
      <c r="H272">
        <v>4</v>
      </c>
      <c r="I272">
        <v>4</v>
      </c>
      <c r="J272">
        <v>360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f t="shared" si="8"/>
        <v>0</v>
      </c>
      <c r="S272" t="s">
        <v>21</v>
      </c>
      <c r="T272">
        <v>47</v>
      </c>
      <c r="U272" t="str">
        <f t="shared" si="9"/>
        <v>Sabrina D'Angelo:0</v>
      </c>
      <c r="AR272">
        <v>37</v>
      </c>
    </row>
    <row r="273" spans="1:44" x14ac:dyDescent="0.2">
      <c r="A273" t="s">
        <v>179</v>
      </c>
      <c r="B273" t="s">
        <v>612</v>
      </c>
      <c r="C273" t="s">
        <v>613</v>
      </c>
      <c r="D273" t="s">
        <v>26</v>
      </c>
      <c r="E273" t="s">
        <v>20</v>
      </c>
      <c r="F273">
        <v>28</v>
      </c>
      <c r="G273">
        <v>1993</v>
      </c>
      <c r="H273">
        <v>21</v>
      </c>
      <c r="I273">
        <v>19</v>
      </c>
      <c r="J273">
        <v>1539</v>
      </c>
      <c r="K273">
        <v>12</v>
      </c>
      <c r="L273">
        <v>5</v>
      </c>
      <c r="M273">
        <v>12</v>
      </c>
      <c r="N273">
        <v>0</v>
      </c>
      <c r="O273">
        <v>0</v>
      </c>
      <c r="P273">
        <v>0</v>
      </c>
      <c r="Q273">
        <v>0</v>
      </c>
      <c r="R273">
        <f t="shared" si="8"/>
        <v>8.6636343946285463E-5</v>
      </c>
      <c r="S273" t="s">
        <v>21</v>
      </c>
      <c r="T273">
        <v>58</v>
      </c>
      <c r="U273" t="str">
        <f t="shared" si="9"/>
        <v>Sam Kerr:5</v>
      </c>
      <c r="AR273">
        <v>37</v>
      </c>
    </row>
    <row r="274" spans="1:44" x14ac:dyDescent="0.2">
      <c r="A274" t="s">
        <v>304</v>
      </c>
      <c r="B274" t="s">
        <v>606</v>
      </c>
      <c r="C274" t="s">
        <v>607</v>
      </c>
      <c r="D274" t="s">
        <v>94</v>
      </c>
      <c r="E274" t="s">
        <v>46</v>
      </c>
      <c r="F274">
        <v>23</v>
      </c>
      <c r="G274">
        <v>1998</v>
      </c>
      <c r="H274">
        <v>21</v>
      </c>
      <c r="I274">
        <v>21</v>
      </c>
      <c r="J274">
        <v>1846</v>
      </c>
      <c r="K274">
        <v>2</v>
      </c>
      <c r="L274">
        <v>2</v>
      </c>
      <c r="M274">
        <v>2</v>
      </c>
      <c r="N274">
        <v>0</v>
      </c>
      <c r="O274">
        <v>0</v>
      </c>
      <c r="P274">
        <v>5</v>
      </c>
      <c r="Q274">
        <v>0</v>
      </c>
      <c r="R274">
        <f t="shared" si="8"/>
        <v>1.203804020705429E-5</v>
      </c>
      <c r="S274" t="s">
        <v>21</v>
      </c>
      <c r="T274">
        <v>16</v>
      </c>
      <c r="U274" t="str">
        <f t="shared" si="9"/>
        <v>Samantha Tierney:2</v>
      </c>
      <c r="AR274">
        <v>23</v>
      </c>
    </row>
    <row r="275" spans="1:44" x14ac:dyDescent="0.2">
      <c r="A275" t="s">
        <v>205</v>
      </c>
      <c r="B275" t="s">
        <v>606</v>
      </c>
      <c r="C275" t="s">
        <v>607</v>
      </c>
      <c r="D275" t="s">
        <v>40</v>
      </c>
      <c r="E275" t="s">
        <v>32</v>
      </c>
      <c r="F275">
        <v>24</v>
      </c>
      <c r="G275">
        <v>1998</v>
      </c>
      <c r="H275">
        <v>3</v>
      </c>
      <c r="I275">
        <v>3</v>
      </c>
      <c r="J275">
        <v>270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f t="shared" si="8"/>
        <v>0</v>
      </c>
      <c r="S275" t="s">
        <v>21</v>
      </c>
      <c r="T275">
        <v>47</v>
      </c>
      <c r="U275" t="str">
        <f t="shared" si="9"/>
        <v>Sandy MacIver:0</v>
      </c>
      <c r="AR275">
        <v>11</v>
      </c>
    </row>
    <row r="276" spans="1:44" x14ac:dyDescent="0.2">
      <c r="A276" t="s">
        <v>307</v>
      </c>
      <c r="B276" t="s">
        <v>620</v>
      </c>
      <c r="C276" t="s">
        <v>621</v>
      </c>
      <c r="D276" t="s">
        <v>23</v>
      </c>
      <c r="E276" t="s">
        <v>35</v>
      </c>
      <c r="F276">
        <v>33</v>
      </c>
      <c r="G276">
        <v>1988</v>
      </c>
      <c r="H276">
        <v>20</v>
      </c>
      <c r="I276">
        <v>13</v>
      </c>
      <c r="J276">
        <v>1143</v>
      </c>
      <c r="K276">
        <v>4</v>
      </c>
      <c r="L276">
        <v>1</v>
      </c>
      <c r="M276">
        <v>3</v>
      </c>
      <c r="N276">
        <v>1</v>
      </c>
      <c r="O276">
        <v>1</v>
      </c>
      <c r="P276">
        <v>0</v>
      </c>
      <c r="Q276">
        <v>0</v>
      </c>
      <c r="R276">
        <f t="shared" si="8"/>
        <v>3.8884028385340725E-5</v>
      </c>
      <c r="S276" t="s">
        <v>21</v>
      </c>
      <c r="T276">
        <v>11</v>
      </c>
      <c r="U276" t="str">
        <f t="shared" si="9"/>
        <v>Sanne Troelsgaard Nielsen:1</v>
      </c>
      <c r="AR276">
        <v>56</v>
      </c>
    </row>
    <row r="277" spans="1:44" x14ac:dyDescent="0.2">
      <c r="A277" t="s">
        <v>160</v>
      </c>
      <c r="B277" t="s">
        <v>620</v>
      </c>
      <c r="C277" t="s">
        <v>621</v>
      </c>
      <c r="D277" t="s">
        <v>50</v>
      </c>
      <c r="E277" t="s">
        <v>55</v>
      </c>
      <c r="F277">
        <v>23</v>
      </c>
      <c r="G277">
        <v>1999</v>
      </c>
      <c r="H277">
        <v>6</v>
      </c>
      <c r="I277">
        <v>2</v>
      </c>
      <c r="J277">
        <v>197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f t="shared" si="8"/>
        <v>0</v>
      </c>
      <c r="S277" t="s">
        <v>21</v>
      </c>
      <c r="T277">
        <v>30</v>
      </c>
      <c r="U277" t="str">
        <f t="shared" si="9"/>
        <v>Sara Holmgaard:0</v>
      </c>
      <c r="AR277">
        <v>47</v>
      </c>
    </row>
    <row r="278" spans="1:44" x14ac:dyDescent="0.2">
      <c r="A278" t="s">
        <v>212</v>
      </c>
      <c r="B278" t="s">
        <v>606</v>
      </c>
      <c r="C278" t="s">
        <v>607</v>
      </c>
      <c r="D278" t="s">
        <v>50</v>
      </c>
      <c r="E278" t="s">
        <v>37</v>
      </c>
      <c r="F278">
        <v>25</v>
      </c>
      <c r="G278">
        <v>1997</v>
      </c>
      <c r="H278">
        <v>20</v>
      </c>
      <c r="I278">
        <v>20</v>
      </c>
      <c r="J278">
        <v>1799</v>
      </c>
      <c r="K278">
        <v>0</v>
      </c>
      <c r="L278">
        <v>1</v>
      </c>
      <c r="M278">
        <v>0</v>
      </c>
      <c r="N278">
        <v>0</v>
      </c>
      <c r="O278">
        <v>0</v>
      </c>
      <c r="P278">
        <v>3</v>
      </c>
      <c r="Q278">
        <v>0</v>
      </c>
      <c r="R278">
        <f t="shared" si="8"/>
        <v>0</v>
      </c>
      <c r="S278" t="s">
        <v>21</v>
      </c>
      <c r="T278">
        <v>37</v>
      </c>
      <c r="U278" t="str">
        <f t="shared" si="9"/>
        <v>Sarah Mayling:1</v>
      </c>
      <c r="AR278">
        <v>18</v>
      </c>
    </row>
    <row r="279" spans="1:44" x14ac:dyDescent="0.2">
      <c r="A279" t="s">
        <v>269</v>
      </c>
      <c r="B279" t="s">
        <v>626</v>
      </c>
      <c r="C279" t="s">
        <v>627</v>
      </c>
      <c r="D279" t="s">
        <v>26</v>
      </c>
      <c r="E279" t="s">
        <v>65</v>
      </c>
      <c r="F279">
        <v>29</v>
      </c>
      <c r="G279">
        <v>1992</v>
      </c>
      <c r="H279">
        <v>14</v>
      </c>
      <c r="I279">
        <v>7</v>
      </c>
      <c r="J279">
        <v>637</v>
      </c>
      <c r="K279">
        <v>1</v>
      </c>
      <c r="L279">
        <v>3</v>
      </c>
      <c r="M279">
        <v>1</v>
      </c>
      <c r="N279">
        <v>0</v>
      </c>
      <c r="O279">
        <v>0</v>
      </c>
      <c r="P279">
        <v>3</v>
      </c>
      <c r="Q279">
        <v>0</v>
      </c>
      <c r="R279">
        <f t="shared" si="8"/>
        <v>1.7442874585731731E-5</v>
      </c>
      <c r="S279" t="s">
        <v>21</v>
      </c>
      <c r="T279">
        <v>23</v>
      </c>
      <c r="U279" t="str">
        <f t="shared" si="9"/>
        <v>Shanice van de Sanden:3</v>
      </c>
      <c r="AR279">
        <v>11</v>
      </c>
    </row>
    <row r="280" spans="1:44" x14ac:dyDescent="0.2">
      <c r="A280" t="s">
        <v>95</v>
      </c>
      <c r="B280" t="s">
        <v>606</v>
      </c>
      <c r="C280" t="s">
        <v>607</v>
      </c>
      <c r="D280" t="s">
        <v>50</v>
      </c>
      <c r="E280" t="s">
        <v>24</v>
      </c>
      <c r="F280">
        <v>22</v>
      </c>
      <c r="G280">
        <v>2000</v>
      </c>
      <c r="H280">
        <v>1</v>
      </c>
      <c r="I280">
        <v>0</v>
      </c>
      <c r="J280">
        <v>12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f t="shared" si="8"/>
        <v>0</v>
      </c>
      <c r="S280" t="s">
        <v>21</v>
      </c>
      <c r="T280">
        <v>21</v>
      </c>
      <c r="U280" t="str">
        <f t="shared" si="9"/>
        <v>Shannon Cooke:0</v>
      </c>
      <c r="AR280">
        <v>18</v>
      </c>
    </row>
    <row r="281" spans="1:44" x14ac:dyDescent="0.2">
      <c r="A281" t="s">
        <v>234</v>
      </c>
      <c r="B281" t="s">
        <v>606</v>
      </c>
      <c r="C281" t="s">
        <v>607</v>
      </c>
      <c r="D281" t="s">
        <v>42</v>
      </c>
      <c r="E281" t="s">
        <v>46</v>
      </c>
      <c r="F281">
        <v>20</v>
      </c>
      <c r="G281">
        <v>2001</v>
      </c>
      <c r="H281">
        <v>10</v>
      </c>
      <c r="I281">
        <v>4</v>
      </c>
      <c r="J281">
        <v>472</v>
      </c>
      <c r="K281">
        <v>0</v>
      </c>
      <c r="L281">
        <v>1</v>
      </c>
      <c r="M281">
        <v>0</v>
      </c>
      <c r="N281">
        <v>0</v>
      </c>
      <c r="O281">
        <v>0</v>
      </c>
      <c r="P281">
        <v>4</v>
      </c>
      <c r="Q281">
        <v>0</v>
      </c>
      <c r="R281">
        <f t="shared" si="8"/>
        <v>0</v>
      </c>
      <c r="S281" t="s">
        <v>21</v>
      </c>
      <c r="T281">
        <v>16</v>
      </c>
      <c r="U281" t="str">
        <f t="shared" si="9"/>
        <v>Shannon O’Brien:1</v>
      </c>
      <c r="AR281">
        <v>16</v>
      </c>
    </row>
    <row r="282" spans="1:44" x14ac:dyDescent="0.2">
      <c r="A282" t="s">
        <v>334</v>
      </c>
      <c r="B282" t="s">
        <v>608</v>
      </c>
      <c r="C282" t="s">
        <v>609</v>
      </c>
      <c r="D282" t="s">
        <v>50</v>
      </c>
      <c r="E282" t="s">
        <v>30</v>
      </c>
      <c r="F282">
        <v>29</v>
      </c>
      <c r="G282">
        <v>1992</v>
      </c>
      <c r="H282">
        <v>13</v>
      </c>
      <c r="I282">
        <v>13</v>
      </c>
      <c r="J282">
        <v>1170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f t="shared" si="8"/>
        <v>0</v>
      </c>
      <c r="S282" t="s">
        <v>21</v>
      </c>
      <c r="T282">
        <v>18</v>
      </c>
      <c r="U282" t="str">
        <f t="shared" si="9"/>
        <v>Shelina Zadorsky:0</v>
      </c>
      <c r="AR282">
        <v>37</v>
      </c>
    </row>
    <row r="283" spans="1:44" x14ac:dyDescent="0.2">
      <c r="A283" t="s">
        <v>206</v>
      </c>
      <c r="B283" t="s">
        <v>646</v>
      </c>
      <c r="C283" t="s">
        <v>647</v>
      </c>
      <c r="D283" t="s">
        <v>23</v>
      </c>
      <c r="E283" t="s">
        <v>37</v>
      </c>
      <c r="F283">
        <v>27</v>
      </c>
      <c r="G283">
        <v>1994</v>
      </c>
      <c r="H283">
        <v>3</v>
      </c>
      <c r="I283">
        <v>0</v>
      </c>
      <c r="J283">
        <v>99</v>
      </c>
      <c r="K283">
        <v>0</v>
      </c>
      <c r="L283">
        <v>1</v>
      </c>
      <c r="M283">
        <v>0</v>
      </c>
      <c r="N283">
        <v>0</v>
      </c>
      <c r="O283">
        <v>0</v>
      </c>
      <c r="P283">
        <v>1</v>
      </c>
      <c r="Q283">
        <v>0</v>
      </c>
      <c r="R283">
        <f t="shared" si="8"/>
        <v>0</v>
      </c>
      <c r="S283" t="s">
        <v>21</v>
      </c>
      <c r="T283">
        <v>37</v>
      </c>
      <c r="U283" t="str">
        <f t="shared" si="9"/>
        <v>Simone Magill:1</v>
      </c>
      <c r="AR283">
        <v>16</v>
      </c>
    </row>
    <row r="284" spans="1:44" x14ac:dyDescent="0.2">
      <c r="A284" t="s">
        <v>242</v>
      </c>
      <c r="B284" t="s">
        <v>620</v>
      </c>
      <c r="C284" t="s">
        <v>621</v>
      </c>
      <c r="D284" t="s">
        <v>34</v>
      </c>
      <c r="E284" t="s">
        <v>65</v>
      </c>
      <c r="F284">
        <v>20</v>
      </c>
      <c r="G284">
        <v>2002</v>
      </c>
      <c r="H284">
        <v>12</v>
      </c>
      <c r="I284">
        <v>0</v>
      </c>
      <c r="J284">
        <v>240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1</v>
      </c>
      <c r="Q284">
        <v>0</v>
      </c>
      <c r="R284">
        <f t="shared" si="8"/>
        <v>0</v>
      </c>
      <c r="S284" t="s">
        <v>21</v>
      </c>
      <c r="T284">
        <v>23</v>
      </c>
      <c r="U284" t="str">
        <f t="shared" si="9"/>
        <v>Sofie Pedersen:0</v>
      </c>
      <c r="AR284">
        <v>23</v>
      </c>
    </row>
    <row r="285" spans="1:44" x14ac:dyDescent="0.2">
      <c r="A285" t="s">
        <v>156</v>
      </c>
      <c r="B285" t="s">
        <v>606</v>
      </c>
      <c r="C285" t="s">
        <v>607</v>
      </c>
      <c r="D285" t="s">
        <v>40</v>
      </c>
      <c r="E285" t="s">
        <v>24</v>
      </c>
      <c r="F285">
        <v>19</v>
      </c>
      <c r="G285">
        <v>2003</v>
      </c>
      <c r="H285">
        <v>3</v>
      </c>
      <c r="I285">
        <v>2</v>
      </c>
      <c r="J285">
        <v>191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f t="shared" si="8"/>
        <v>0</v>
      </c>
      <c r="S285" t="s">
        <v>21</v>
      </c>
      <c r="T285">
        <v>21</v>
      </c>
      <c r="U285" t="str">
        <f t="shared" si="9"/>
        <v>Sophie Hillyerd:0</v>
      </c>
      <c r="AR285">
        <v>18</v>
      </c>
    </row>
    <row r="286" spans="1:44" x14ac:dyDescent="0.2">
      <c r="A286" t="s">
        <v>163</v>
      </c>
      <c r="B286" t="s">
        <v>652</v>
      </c>
      <c r="C286" t="s">
        <v>653</v>
      </c>
      <c r="D286" t="s">
        <v>50</v>
      </c>
      <c r="E286" t="s">
        <v>46</v>
      </c>
      <c r="F286">
        <v>28</v>
      </c>
      <c r="G286">
        <v>1993</v>
      </c>
      <c r="H286">
        <v>21</v>
      </c>
      <c r="I286">
        <v>21</v>
      </c>
      <c r="J286">
        <v>1868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1</v>
      </c>
      <c r="Q286">
        <v>0</v>
      </c>
      <c r="R286">
        <f t="shared" si="8"/>
        <v>0</v>
      </c>
      <c r="S286" t="s">
        <v>21</v>
      </c>
      <c r="T286">
        <v>16</v>
      </c>
      <c r="U286" t="str">
        <f t="shared" si="9"/>
        <v>Sophie Howard:0</v>
      </c>
      <c r="AR286">
        <v>30</v>
      </c>
    </row>
    <row r="287" spans="1:44" x14ac:dyDescent="0.2">
      <c r="A287" t="s">
        <v>167</v>
      </c>
      <c r="B287" t="s">
        <v>624</v>
      </c>
      <c r="C287" t="s">
        <v>625</v>
      </c>
      <c r="D287" t="s">
        <v>34</v>
      </c>
      <c r="E287" t="s">
        <v>20</v>
      </c>
      <c r="F287">
        <v>30</v>
      </c>
      <c r="G287">
        <v>1991</v>
      </c>
      <c r="H287">
        <v>21</v>
      </c>
      <c r="I287">
        <v>15</v>
      </c>
      <c r="J287">
        <v>1343</v>
      </c>
      <c r="K287">
        <v>2</v>
      </c>
      <c r="L287">
        <v>3</v>
      </c>
      <c r="M287">
        <v>2</v>
      </c>
      <c r="N287">
        <v>0</v>
      </c>
      <c r="O287">
        <v>0</v>
      </c>
      <c r="P287">
        <v>1</v>
      </c>
      <c r="Q287">
        <v>0</v>
      </c>
      <c r="R287">
        <f t="shared" si="8"/>
        <v>1.6546703069413418E-5</v>
      </c>
      <c r="S287" t="s">
        <v>21</v>
      </c>
      <c r="T287">
        <v>58</v>
      </c>
      <c r="U287" t="str">
        <f t="shared" si="9"/>
        <v>Sophie Ingle:3</v>
      </c>
      <c r="AR287">
        <v>21</v>
      </c>
    </row>
    <row r="288" spans="1:44" x14ac:dyDescent="0.2">
      <c r="A288" t="s">
        <v>87</v>
      </c>
      <c r="B288" t="s">
        <v>612</v>
      </c>
      <c r="C288" t="s">
        <v>613</v>
      </c>
      <c r="D288" t="s">
        <v>50</v>
      </c>
      <c r="E288" t="s">
        <v>27</v>
      </c>
      <c r="F288">
        <v>28</v>
      </c>
      <c r="G288">
        <v>1994</v>
      </c>
      <c r="H288">
        <v>17</v>
      </c>
      <c r="I288">
        <v>12</v>
      </c>
      <c r="J288">
        <v>1192</v>
      </c>
      <c r="K288">
        <v>1</v>
      </c>
      <c r="L288">
        <v>2</v>
      </c>
      <c r="M288">
        <v>1</v>
      </c>
      <c r="N288">
        <v>0</v>
      </c>
      <c r="O288">
        <v>0</v>
      </c>
      <c r="P288">
        <v>0</v>
      </c>
      <c r="Q288">
        <v>0</v>
      </c>
      <c r="R288">
        <f t="shared" si="8"/>
        <v>9.321401938851603E-6</v>
      </c>
      <c r="S288" t="s">
        <v>21</v>
      </c>
      <c r="T288">
        <v>47</v>
      </c>
      <c r="U288" t="str">
        <f t="shared" si="9"/>
        <v>Steph Catley:2</v>
      </c>
      <c r="AR288">
        <v>18</v>
      </c>
    </row>
    <row r="289" spans="1:44" x14ac:dyDescent="0.2">
      <c r="A289" t="s">
        <v>161</v>
      </c>
      <c r="B289" t="s">
        <v>606</v>
      </c>
      <c r="C289" t="s">
        <v>607</v>
      </c>
      <c r="D289" t="s">
        <v>50</v>
      </c>
      <c r="E289" t="s">
        <v>32</v>
      </c>
      <c r="F289">
        <v>34</v>
      </c>
      <c r="G289">
        <v>1988</v>
      </c>
      <c r="H289">
        <v>14</v>
      </c>
      <c r="I289">
        <v>13</v>
      </c>
      <c r="J289">
        <v>1173</v>
      </c>
      <c r="K289">
        <v>2</v>
      </c>
      <c r="L289">
        <v>1</v>
      </c>
      <c r="M289">
        <v>2</v>
      </c>
      <c r="N289">
        <v>0</v>
      </c>
      <c r="O289">
        <v>0</v>
      </c>
      <c r="P289">
        <v>1</v>
      </c>
      <c r="Q289">
        <v>0</v>
      </c>
      <c r="R289">
        <f t="shared" si="8"/>
        <v>1.8944775978024058E-5</v>
      </c>
      <c r="S289" t="s">
        <v>21</v>
      </c>
      <c r="T289">
        <v>47</v>
      </c>
      <c r="U289" t="str">
        <f t="shared" si="9"/>
        <v>Steph Houghton:1</v>
      </c>
      <c r="AR289">
        <v>18</v>
      </c>
    </row>
    <row r="290" spans="1:44" x14ac:dyDescent="0.2">
      <c r="A290" t="s">
        <v>60</v>
      </c>
      <c r="B290" t="s">
        <v>658</v>
      </c>
      <c r="C290" t="s">
        <v>659</v>
      </c>
      <c r="D290" t="s">
        <v>26</v>
      </c>
      <c r="E290" t="s">
        <v>27</v>
      </c>
      <c r="F290">
        <v>26</v>
      </c>
      <c r="G290">
        <v>1996</v>
      </c>
      <c r="H290">
        <v>22</v>
      </c>
      <c r="I290">
        <v>20</v>
      </c>
      <c r="J290">
        <v>1605</v>
      </c>
      <c r="K290">
        <v>8</v>
      </c>
      <c r="L290">
        <v>0</v>
      </c>
      <c r="M290">
        <v>8</v>
      </c>
      <c r="N290">
        <v>0</v>
      </c>
      <c r="O290">
        <v>0</v>
      </c>
      <c r="P290">
        <v>0</v>
      </c>
      <c r="Q290">
        <v>0</v>
      </c>
      <c r="R290">
        <f t="shared" si="8"/>
        <v>5.5382485289027346E-5</v>
      </c>
      <c r="S290" t="s">
        <v>21</v>
      </c>
      <c r="T290">
        <v>47</v>
      </c>
      <c r="U290" t="str">
        <f t="shared" si="9"/>
        <v>Stina Blackstenius:0</v>
      </c>
      <c r="AR290">
        <v>16</v>
      </c>
    </row>
    <row r="291" spans="1:44" x14ac:dyDescent="0.2">
      <c r="A291" t="s">
        <v>157</v>
      </c>
      <c r="B291" t="s">
        <v>606</v>
      </c>
      <c r="C291" t="s">
        <v>607</v>
      </c>
      <c r="D291" t="s">
        <v>29</v>
      </c>
      <c r="E291" t="s">
        <v>65</v>
      </c>
      <c r="F291">
        <v>22</v>
      </c>
      <c r="G291">
        <v>1999</v>
      </c>
      <c r="H291">
        <v>22</v>
      </c>
      <c r="I291">
        <v>22</v>
      </c>
      <c r="J291">
        <v>1863</v>
      </c>
      <c r="K291">
        <v>0</v>
      </c>
      <c r="L291">
        <v>2</v>
      </c>
      <c r="M291">
        <v>0</v>
      </c>
      <c r="N291">
        <v>0</v>
      </c>
      <c r="O291">
        <v>0</v>
      </c>
      <c r="P291">
        <v>2</v>
      </c>
      <c r="Q291">
        <v>0</v>
      </c>
      <c r="R291">
        <f t="shared" si="8"/>
        <v>0</v>
      </c>
      <c r="S291" t="s">
        <v>21</v>
      </c>
      <c r="T291">
        <v>23</v>
      </c>
      <c r="U291" t="str">
        <f t="shared" si="9"/>
        <v>Taylor Hinds:2</v>
      </c>
      <c r="AR291">
        <v>47</v>
      </c>
    </row>
    <row r="292" spans="1:44" x14ac:dyDescent="0.2">
      <c r="A292" t="s">
        <v>136</v>
      </c>
      <c r="B292" t="s">
        <v>606</v>
      </c>
      <c r="C292" t="s">
        <v>607</v>
      </c>
      <c r="D292" t="s">
        <v>26</v>
      </c>
      <c r="E292" t="s">
        <v>27</v>
      </c>
      <c r="F292">
        <v>18</v>
      </c>
      <c r="G292">
        <v>2004</v>
      </c>
      <c r="H292">
        <v>1</v>
      </c>
      <c r="I292">
        <v>0</v>
      </c>
      <c r="J292">
        <v>6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f t="shared" si="8"/>
        <v>0</v>
      </c>
      <c r="S292" t="s">
        <v>21</v>
      </c>
      <c r="T292">
        <v>47</v>
      </c>
      <c r="U292" t="str">
        <f t="shared" si="9"/>
        <v>Teyah Goldie:0</v>
      </c>
      <c r="AR292">
        <v>37</v>
      </c>
    </row>
    <row r="293" spans="1:44" x14ac:dyDescent="0.2">
      <c r="A293" t="s">
        <v>187</v>
      </c>
      <c r="B293" t="s">
        <v>618</v>
      </c>
      <c r="C293" t="s">
        <v>619</v>
      </c>
      <c r="D293" t="s">
        <v>26</v>
      </c>
      <c r="E293" t="s">
        <v>24</v>
      </c>
      <c r="F293">
        <v>18</v>
      </c>
      <c r="G293">
        <v>2004</v>
      </c>
      <c r="H293">
        <v>10</v>
      </c>
      <c r="I293">
        <v>4</v>
      </c>
      <c r="J293">
        <v>325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1</v>
      </c>
      <c r="Q293">
        <v>0</v>
      </c>
      <c r="R293">
        <f t="shared" si="8"/>
        <v>0</v>
      </c>
      <c r="S293" t="s">
        <v>21</v>
      </c>
      <c r="T293">
        <v>21</v>
      </c>
      <c r="U293" t="str">
        <f t="shared" si="9"/>
        <v>Thea Kyvåg:0</v>
      </c>
      <c r="AR293">
        <v>47</v>
      </c>
    </row>
    <row r="294" spans="1:44" x14ac:dyDescent="0.2">
      <c r="A294" t="s">
        <v>251</v>
      </c>
      <c r="B294" t="s">
        <v>606</v>
      </c>
      <c r="C294" t="s">
        <v>607</v>
      </c>
      <c r="D294" t="s">
        <v>23</v>
      </c>
      <c r="E294" t="s">
        <v>35</v>
      </c>
      <c r="F294">
        <v>18</v>
      </c>
      <c r="G294">
        <v>2004</v>
      </c>
      <c r="H294">
        <v>17</v>
      </c>
      <c r="I294">
        <v>10</v>
      </c>
      <c r="J294">
        <v>895</v>
      </c>
      <c r="K294">
        <v>1</v>
      </c>
      <c r="L294">
        <v>0</v>
      </c>
      <c r="M294">
        <v>1</v>
      </c>
      <c r="N294">
        <v>0</v>
      </c>
      <c r="O294">
        <v>0</v>
      </c>
      <c r="P294">
        <v>2</v>
      </c>
      <c r="Q294">
        <v>0</v>
      </c>
      <c r="R294">
        <f t="shared" si="8"/>
        <v>1.2414649286157666E-5</v>
      </c>
      <c r="S294" t="s">
        <v>21</v>
      </c>
      <c r="T294">
        <v>11</v>
      </c>
      <c r="U294" t="str">
        <f t="shared" si="9"/>
        <v>Tia Primmer:0</v>
      </c>
      <c r="AR294">
        <v>58</v>
      </c>
    </row>
    <row r="295" spans="1:44" x14ac:dyDescent="0.2">
      <c r="A295" t="s">
        <v>33</v>
      </c>
      <c r="B295" t="s">
        <v>606</v>
      </c>
      <c r="C295" t="s">
        <v>607</v>
      </c>
      <c r="D295" t="s">
        <v>34</v>
      </c>
      <c r="E295" t="s">
        <v>35</v>
      </c>
      <c r="F295">
        <v>23</v>
      </c>
      <c r="G295">
        <v>1999</v>
      </c>
      <c r="H295">
        <v>1</v>
      </c>
      <c r="I295">
        <v>0</v>
      </c>
      <c r="J295">
        <v>17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f t="shared" si="8"/>
        <v>0</v>
      </c>
      <c r="S295" t="s">
        <v>21</v>
      </c>
      <c r="T295">
        <v>11</v>
      </c>
      <c r="U295" t="str">
        <f t="shared" si="9"/>
        <v>Tinaya Alexander:0</v>
      </c>
      <c r="AR295">
        <v>16</v>
      </c>
    </row>
    <row r="296" spans="1:44" x14ac:dyDescent="0.2">
      <c r="A296" t="s">
        <v>184</v>
      </c>
      <c r="B296" t="s">
        <v>656</v>
      </c>
      <c r="C296" t="s">
        <v>657</v>
      </c>
      <c r="D296" t="s">
        <v>40</v>
      </c>
      <c r="E296" t="s">
        <v>30</v>
      </c>
      <c r="F296">
        <v>36</v>
      </c>
      <c r="G296">
        <v>1986</v>
      </c>
      <c r="H296">
        <v>11</v>
      </c>
      <c r="I296">
        <v>11</v>
      </c>
      <c r="J296">
        <v>990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f t="shared" si="8"/>
        <v>0</v>
      </c>
      <c r="S296" t="s">
        <v>21</v>
      </c>
      <c r="T296">
        <v>18</v>
      </c>
      <c r="U296" t="str">
        <f t="shared" si="9"/>
        <v>Tinja-Riikka Korpela:0</v>
      </c>
      <c r="AR296">
        <v>47</v>
      </c>
    </row>
    <row r="297" spans="1:44" x14ac:dyDescent="0.2">
      <c r="A297" t="s">
        <v>270</v>
      </c>
      <c r="B297" t="s">
        <v>674</v>
      </c>
      <c r="C297" t="s">
        <v>675</v>
      </c>
      <c r="D297" t="s">
        <v>23</v>
      </c>
      <c r="E297" t="s">
        <v>48</v>
      </c>
      <c r="F297">
        <v>24</v>
      </c>
      <c r="G297">
        <v>1998</v>
      </c>
      <c r="H297">
        <v>22</v>
      </c>
      <c r="I297">
        <v>16</v>
      </c>
      <c r="J297">
        <v>1438</v>
      </c>
      <c r="K297">
        <v>3</v>
      </c>
      <c r="L297">
        <v>2</v>
      </c>
      <c r="M297">
        <v>3</v>
      </c>
      <c r="N297">
        <v>0</v>
      </c>
      <c r="O297">
        <v>0</v>
      </c>
      <c r="P297">
        <v>3</v>
      </c>
      <c r="Q297">
        <v>0</v>
      </c>
      <c r="R297">
        <f t="shared" si="8"/>
        <v>2.3180343069077424E-5</v>
      </c>
      <c r="S297" t="s">
        <v>21</v>
      </c>
      <c r="T297">
        <v>16</v>
      </c>
      <c r="U297" t="str">
        <f t="shared" si="9"/>
        <v>Veatriki Sarri:2</v>
      </c>
      <c r="AR297">
        <v>11</v>
      </c>
    </row>
    <row r="298" spans="1:44" x14ac:dyDescent="0.2">
      <c r="A298" t="s">
        <v>202</v>
      </c>
      <c r="B298" t="s">
        <v>666</v>
      </c>
      <c r="C298" t="s">
        <v>667</v>
      </c>
      <c r="D298" t="s">
        <v>34</v>
      </c>
      <c r="E298" t="s">
        <v>32</v>
      </c>
      <c r="F298">
        <v>31</v>
      </c>
      <c r="G298">
        <v>1991</v>
      </c>
      <c r="H298">
        <v>2</v>
      </c>
      <c r="I298">
        <v>0</v>
      </c>
      <c r="J298">
        <v>17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f t="shared" si="8"/>
        <v>0</v>
      </c>
      <c r="S298" t="s">
        <v>21</v>
      </c>
      <c r="T298">
        <v>47</v>
      </c>
      <c r="U298" t="str">
        <f t="shared" si="9"/>
        <v>Vicky Losada:0</v>
      </c>
      <c r="AR298">
        <v>30</v>
      </c>
    </row>
    <row r="299" spans="1:44" x14ac:dyDescent="0.2">
      <c r="A299" t="s">
        <v>243</v>
      </c>
      <c r="B299" t="s">
        <v>626</v>
      </c>
      <c r="C299" t="s">
        <v>627</v>
      </c>
      <c r="D299" t="s">
        <v>23</v>
      </c>
      <c r="E299" t="s">
        <v>27</v>
      </c>
      <c r="F299">
        <v>23</v>
      </c>
      <c r="G299">
        <v>1999</v>
      </c>
      <c r="H299">
        <v>12</v>
      </c>
      <c r="I299">
        <v>10</v>
      </c>
      <c r="J299">
        <v>908</v>
      </c>
      <c r="K299">
        <v>1</v>
      </c>
      <c r="L299">
        <v>3</v>
      </c>
      <c r="M299">
        <v>1</v>
      </c>
      <c r="N299">
        <v>0</v>
      </c>
      <c r="O299">
        <v>0</v>
      </c>
      <c r="P299">
        <v>0</v>
      </c>
      <c r="Q299">
        <v>0</v>
      </c>
      <c r="R299">
        <f t="shared" si="8"/>
        <v>1.2236906510034265E-5</v>
      </c>
      <c r="S299" t="s">
        <v>21</v>
      </c>
      <c r="T299">
        <v>47</v>
      </c>
      <c r="U299" t="str">
        <f t="shared" si="9"/>
        <v>Victoria Pelova:3</v>
      </c>
      <c r="AR299">
        <v>37</v>
      </c>
    </row>
    <row r="300" spans="1:44" x14ac:dyDescent="0.2">
      <c r="A300" t="s">
        <v>329</v>
      </c>
      <c r="B300" t="s">
        <v>650</v>
      </c>
      <c r="C300" t="s">
        <v>651</v>
      </c>
      <c r="D300" t="s">
        <v>50</v>
      </c>
      <c r="E300" t="s">
        <v>48</v>
      </c>
      <c r="F300">
        <v>32</v>
      </c>
      <c r="G300">
        <v>1990</v>
      </c>
      <c r="H300">
        <v>10</v>
      </c>
      <c r="I300">
        <v>9</v>
      </c>
      <c r="J300">
        <v>828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1</v>
      </c>
      <c r="Q300">
        <v>0</v>
      </c>
      <c r="R300">
        <f t="shared" si="8"/>
        <v>0</v>
      </c>
      <c r="S300" t="s">
        <v>21</v>
      </c>
      <c r="T300">
        <v>16</v>
      </c>
      <c r="U300" t="str">
        <f t="shared" si="9"/>
        <v>Victoria Williams:0</v>
      </c>
      <c r="AR300">
        <v>23</v>
      </c>
    </row>
    <row r="301" spans="1:44" x14ac:dyDescent="0.2">
      <c r="A301" t="s">
        <v>77</v>
      </c>
      <c r="B301" t="s">
        <v>618</v>
      </c>
      <c r="C301" t="s">
        <v>619</v>
      </c>
      <c r="D301" t="s">
        <v>34</v>
      </c>
      <c r="E301" t="s">
        <v>52</v>
      </c>
      <c r="F301">
        <v>27</v>
      </c>
      <c r="G301">
        <v>1995</v>
      </c>
      <c r="H301">
        <v>12</v>
      </c>
      <c r="I301">
        <v>3</v>
      </c>
      <c r="J301">
        <v>369</v>
      </c>
      <c r="K301">
        <v>0</v>
      </c>
      <c r="L301">
        <v>1</v>
      </c>
      <c r="M301">
        <v>0</v>
      </c>
      <c r="N301">
        <v>0</v>
      </c>
      <c r="O301">
        <v>0</v>
      </c>
      <c r="P301">
        <v>1</v>
      </c>
      <c r="Q301">
        <v>0</v>
      </c>
      <c r="R301">
        <f t="shared" si="8"/>
        <v>0</v>
      </c>
      <c r="S301" t="s">
        <v>21</v>
      </c>
      <c r="T301">
        <v>56</v>
      </c>
      <c r="U301" t="str">
        <f t="shared" si="9"/>
        <v>Vilde Bøe Risa:1</v>
      </c>
      <c r="AR301">
        <v>21</v>
      </c>
    </row>
    <row r="302" spans="1:44" x14ac:dyDescent="0.2">
      <c r="A302" t="s">
        <v>41</v>
      </c>
      <c r="B302" t="s">
        <v>610</v>
      </c>
      <c r="C302" t="s">
        <v>611</v>
      </c>
      <c r="D302" t="s">
        <v>42</v>
      </c>
      <c r="E302" t="s">
        <v>24</v>
      </c>
      <c r="F302">
        <v>28</v>
      </c>
      <c r="G302">
        <v>1993</v>
      </c>
      <c r="H302">
        <v>22</v>
      </c>
      <c r="I302">
        <v>22</v>
      </c>
      <c r="J302">
        <v>1941</v>
      </c>
      <c r="K302">
        <v>6</v>
      </c>
      <c r="L302">
        <v>3</v>
      </c>
      <c r="M302">
        <v>6</v>
      </c>
      <c r="N302">
        <v>0</v>
      </c>
      <c r="O302">
        <v>0</v>
      </c>
      <c r="P302">
        <v>2</v>
      </c>
      <c r="Q302">
        <v>0</v>
      </c>
      <c r="R302">
        <f t="shared" si="8"/>
        <v>3.4346556757685039E-5</v>
      </c>
      <c r="S302" t="s">
        <v>21</v>
      </c>
      <c r="T302">
        <v>21</v>
      </c>
      <c r="U302" t="str">
        <f t="shared" si="9"/>
        <v>Viviane Asseyi:3</v>
      </c>
      <c r="AR302">
        <v>16</v>
      </c>
    </row>
    <row r="303" spans="1:44" x14ac:dyDescent="0.2">
      <c r="A303" t="s">
        <v>217</v>
      </c>
      <c r="B303" t="s">
        <v>626</v>
      </c>
      <c r="C303" t="s">
        <v>627</v>
      </c>
      <c r="D303" t="s">
        <v>23</v>
      </c>
      <c r="E303" t="s">
        <v>27</v>
      </c>
      <c r="F303">
        <v>26</v>
      </c>
      <c r="G303">
        <v>1996</v>
      </c>
      <c r="H303">
        <v>8</v>
      </c>
      <c r="I303">
        <v>5</v>
      </c>
      <c r="J303">
        <v>436</v>
      </c>
      <c r="K303">
        <v>4</v>
      </c>
      <c r="L303">
        <v>1</v>
      </c>
      <c r="M303">
        <v>4</v>
      </c>
      <c r="N303">
        <v>0</v>
      </c>
      <c r="O303">
        <v>0</v>
      </c>
      <c r="P303">
        <v>0</v>
      </c>
      <c r="Q303">
        <v>0</v>
      </c>
      <c r="R303">
        <f t="shared" si="8"/>
        <v>1.0193679918450561E-4</v>
      </c>
      <c r="S303" t="s">
        <v>21</v>
      </c>
      <c r="T303">
        <v>47</v>
      </c>
      <c r="U303" t="str">
        <f t="shared" si="9"/>
        <v>Vivianne Miedema:1</v>
      </c>
      <c r="AR303">
        <v>18</v>
      </c>
    </row>
    <row r="304" spans="1:44" x14ac:dyDescent="0.2">
      <c r="A304" t="s">
        <v>105</v>
      </c>
      <c r="B304" t="s">
        <v>622</v>
      </c>
      <c r="C304" t="s">
        <v>623</v>
      </c>
      <c r="D304" t="s">
        <v>42</v>
      </c>
      <c r="E304" t="s">
        <v>65</v>
      </c>
      <c r="F304">
        <v>30</v>
      </c>
      <c r="G304">
        <v>1992</v>
      </c>
      <c r="H304">
        <v>17</v>
      </c>
      <c r="I304">
        <v>8</v>
      </c>
      <c r="J304">
        <v>745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f t="shared" si="8"/>
        <v>0</v>
      </c>
      <c r="S304" t="s">
        <v>21</v>
      </c>
      <c r="T304">
        <v>23</v>
      </c>
      <c r="U304" t="str">
        <f t="shared" si="9"/>
        <v>Yana Daniels:0</v>
      </c>
      <c r="AR304">
        <v>37</v>
      </c>
    </row>
    <row r="305" spans="1:44" x14ac:dyDescent="0.2">
      <c r="A305" t="s">
        <v>152</v>
      </c>
      <c r="B305" t="s">
        <v>660</v>
      </c>
      <c r="C305" t="s">
        <v>661</v>
      </c>
      <c r="D305" t="s">
        <v>34</v>
      </c>
      <c r="E305" t="s">
        <v>32</v>
      </c>
      <c r="F305">
        <v>25</v>
      </c>
      <c r="G305">
        <v>1997</v>
      </c>
      <c r="H305">
        <v>20</v>
      </c>
      <c r="I305">
        <v>20</v>
      </c>
      <c r="J305">
        <v>1783</v>
      </c>
      <c r="K305">
        <v>1</v>
      </c>
      <c r="L305">
        <v>1</v>
      </c>
      <c r="M305">
        <v>1</v>
      </c>
      <c r="N305">
        <v>0</v>
      </c>
      <c r="O305">
        <v>0</v>
      </c>
      <c r="P305">
        <v>0</v>
      </c>
      <c r="Q305">
        <v>0</v>
      </c>
      <c r="R305">
        <f t="shared" si="8"/>
        <v>6.2316943977067362E-6</v>
      </c>
      <c r="S305" t="s">
        <v>21</v>
      </c>
      <c r="T305">
        <v>47</v>
      </c>
      <c r="U305" t="str">
        <f t="shared" si="9"/>
        <v>Yui Hasegawa:1</v>
      </c>
      <c r="AR305">
        <v>23</v>
      </c>
    </row>
    <row r="306" spans="1:44" x14ac:dyDescent="0.2">
      <c r="A306" t="s">
        <v>225</v>
      </c>
      <c r="B306" t="s">
        <v>658</v>
      </c>
      <c r="C306" t="s">
        <v>659</v>
      </c>
      <c r="D306" t="s">
        <v>40</v>
      </c>
      <c r="E306" t="s">
        <v>20</v>
      </c>
      <c r="F306">
        <v>26</v>
      </c>
      <c r="G306">
        <v>1996</v>
      </c>
      <c r="H306">
        <v>7</v>
      </c>
      <c r="I306">
        <v>7</v>
      </c>
      <c r="J306">
        <v>630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f t="shared" si="8"/>
        <v>0</v>
      </c>
      <c r="S306" t="s">
        <v>21</v>
      </c>
      <c r="T306">
        <v>58</v>
      </c>
      <c r="U306" t="str">
        <f t="shared" si="9"/>
        <v>Zećira Mušović:0</v>
      </c>
      <c r="AR306">
        <v>21</v>
      </c>
    </row>
    <row r="307" spans="1:44" x14ac:dyDescent="0.2">
      <c r="A307" t="s">
        <v>223</v>
      </c>
      <c r="B307" t="s">
        <v>638</v>
      </c>
      <c r="C307" t="s">
        <v>639</v>
      </c>
      <c r="D307" t="s">
        <v>50</v>
      </c>
      <c r="E307" t="s">
        <v>48</v>
      </c>
      <c r="F307">
        <v>24</v>
      </c>
      <c r="G307">
        <v>1998</v>
      </c>
      <c r="H307">
        <v>14</v>
      </c>
      <c r="I307">
        <v>14</v>
      </c>
      <c r="J307">
        <v>1260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f t="shared" si="8"/>
        <v>0</v>
      </c>
      <c r="S307" t="s">
        <v>21</v>
      </c>
      <c r="T307">
        <v>16</v>
      </c>
      <c r="U307" t="str">
        <f t="shared" si="9"/>
        <v>Zoe Morse:0</v>
      </c>
      <c r="AR307">
        <v>16</v>
      </c>
    </row>
    <row r="308" spans="1:44" x14ac:dyDescent="0.2">
      <c r="A308" t="s">
        <v>293</v>
      </c>
      <c r="B308" t="s">
        <v>606</v>
      </c>
      <c r="C308" t="s">
        <v>607</v>
      </c>
      <c r="D308" t="s">
        <v>23</v>
      </c>
      <c r="E308" t="s">
        <v>24</v>
      </c>
      <c r="F308">
        <v>26</v>
      </c>
      <c r="G308">
        <v>1995</v>
      </c>
      <c r="H308">
        <v>18</v>
      </c>
      <c r="I308">
        <v>13</v>
      </c>
      <c r="J308">
        <v>1114</v>
      </c>
      <c r="K308">
        <v>1</v>
      </c>
      <c r="L308">
        <v>0</v>
      </c>
      <c r="M308">
        <v>1</v>
      </c>
      <c r="N308">
        <v>0</v>
      </c>
      <c r="O308">
        <v>0</v>
      </c>
      <c r="P308">
        <v>6</v>
      </c>
      <c r="Q308">
        <v>0</v>
      </c>
      <c r="R308">
        <f t="shared" si="8"/>
        <v>9.9740674246957905E-6</v>
      </c>
      <c r="S308" t="s">
        <v>339</v>
      </c>
      <c r="T308">
        <v>27</v>
      </c>
      <c r="U308" t="str">
        <f t="shared" si="9"/>
        <v>Abbey-Leigh Stringer:0</v>
      </c>
      <c r="AR308">
        <v>58</v>
      </c>
    </row>
    <row r="309" spans="1:44" x14ac:dyDescent="0.2">
      <c r="A309" t="s">
        <v>374</v>
      </c>
      <c r="B309" t="s">
        <v>652</v>
      </c>
      <c r="C309" t="s">
        <v>653</v>
      </c>
      <c r="D309" t="s">
        <v>26</v>
      </c>
      <c r="E309" t="s">
        <v>46</v>
      </c>
      <c r="F309">
        <v>25</v>
      </c>
      <c r="G309">
        <v>1995</v>
      </c>
      <c r="H309">
        <v>1</v>
      </c>
      <c r="I309">
        <v>1</v>
      </c>
      <c r="J309">
        <v>45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f t="shared" si="8"/>
        <v>0</v>
      </c>
      <c r="S309" t="s">
        <v>339</v>
      </c>
      <c r="T309">
        <v>13</v>
      </c>
      <c r="U309" t="str">
        <f t="shared" si="9"/>
        <v>Abbi Grant:0</v>
      </c>
      <c r="AR309">
        <v>47</v>
      </c>
    </row>
    <row r="310" spans="1:44" x14ac:dyDescent="0.2">
      <c r="A310" t="s">
        <v>359</v>
      </c>
      <c r="D310" t="s">
        <v>50</v>
      </c>
      <c r="E310" t="s">
        <v>360</v>
      </c>
      <c r="H310">
        <v>7</v>
      </c>
      <c r="I310">
        <v>5</v>
      </c>
      <c r="J310">
        <v>446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1</v>
      </c>
      <c r="Q310">
        <v>0</v>
      </c>
      <c r="R310">
        <f t="shared" si="8"/>
        <v>0</v>
      </c>
      <c r="S310" t="s">
        <v>339</v>
      </c>
      <c r="T310">
        <v>11</v>
      </c>
      <c r="U310" t="str">
        <f t="shared" si="9"/>
        <v>Abbie Cowie:0</v>
      </c>
      <c r="AR310">
        <v>47</v>
      </c>
    </row>
    <row r="311" spans="1:44" x14ac:dyDescent="0.2">
      <c r="A311" t="s">
        <v>215</v>
      </c>
      <c r="B311" t="s">
        <v>606</v>
      </c>
      <c r="C311" t="s">
        <v>607</v>
      </c>
      <c r="D311" t="s">
        <v>29</v>
      </c>
      <c r="E311" t="s">
        <v>46</v>
      </c>
      <c r="F311">
        <v>28</v>
      </c>
      <c r="G311">
        <v>1993</v>
      </c>
      <c r="H311">
        <v>19</v>
      </c>
      <c r="I311">
        <v>18</v>
      </c>
      <c r="J311">
        <v>1554</v>
      </c>
      <c r="K311">
        <v>1</v>
      </c>
      <c r="L311">
        <v>0</v>
      </c>
      <c r="M311">
        <v>1</v>
      </c>
      <c r="N311">
        <v>0</v>
      </c>
      <c r="O311">
        <v>0</v>
      </c>
      <c r="P311">
        <v>1</v>
      </c>
      <c r="Q311">
        <v>0</v>
      </c>
      <c r="R311">
        <f t="shared" si="8"/>
        <v>7.1500071500071498E-6</v>
      </c>
      <c r="S311" t="s">
        <v>339</v>
      </c>
      <c r="T311">
        <v>13</v>
      </c>
      <c r="U311" t="str">
        <f t="shared" si="9"/>
        <v>Abbie McManus:0</v>
      </c>
      <c r="AR311">
        <v>47</v>
      </c>
    </row>
    <row r="312" spans="1:44" x14ac:dyDescent="0.2">
      <c r="A312" t="s">
        <v>196</v>
      </c>
      <c r="B312" t="s">
        <v>608</v>
      </c>
      <c r="C312" t="s">
        <v>609</v>
      </c>
      <c r="D312" t="s">
        <v>26</v>
      </c>
      <c r="E312" t="s">
        <v>24</v>
      </c>
      <c r="F312">
        <v>28</v>
      </c>
      <c r="G312">
        <v>1992</v>
      </c>
      <c r="H312">
        <v>13</v>
      </c>
      <c r="I312">
        <v>11</v>
      </c>
      <c r="J312">
        <v>969</v>
      </c>
      <c r="K312">
        <v>2</v>
      </c>
      <c r="L312">
        <v>0</v>
      </c>
      <c r="M312">
        <v>2</v>
      </c>
      <c r="N312">
        <v>0</v>
      </c>
      <c r="O312">
        <v>0</v>
      </c>
      <c r="P312">
        <v>0</v>
      </c>
      <c r="Q312">
        <v>0</v>
      </c>
      <c r="R312">
        <f t="shared" si="8"/>
        <v>2.2933149868134388E-5</v>
      </c>
      <c r="S312" t="s">
        <v>339</v>
      </c>
      <c r="T312">
        <v>27</v>
      </c>
      <c r="U312" t="str">
        <f t="shared" si="9"/>
        <v>Adriana Leon:0</v>
      </c>
      <c r="AR312">
        <v>47</v>
      </c>
    </row>
    <row r="313" spans="1:44" x14ac:dyDescent="0.2">
      <c r="A313" t="s">
        <v>325</v>
      </c>
      <c r="B313" t="s">
        <v>606</v>
      </c>
      <c r="C313" t="s">
        <v>607</v>
      </c>
      <c r="D313" t="s">
        <v>23</v>
      </c>
      <c r="E313" t="s">
        <v>48</v>
      </c>
      <c r="F313">
        <v>29</v>
      </c>
      <c r="G313">
        <v>1991</v>
      </c>
      <c r="H313">
        <v>22</v>
      </c>
      <c r="I313">
        <v>18</v>
      </c>
      <c r="J313">
        <v>1704</v>
      </c>
      <c r="K313">
        <v>4</v>
      </c>
      <c r="L313">
        <v>1</v>
      </c>
      <c r="M313">
        <v>4</v>
      </c>
      <c r="N313">
        <v>0</v>
      </c>
      <c r="O313">
        <v>0</v>
      </c>
      <c r="P313">
        <v>2</v>
      </c>
      <c r="Q313">
        <v>0</v>
      </c>
      <c r="R313">
        <f t="shared" si="8"/>
        <v>2.6082420448617632E-5</v>
      </c>
      <c r="S313" t="s">
        <v>339</v>
      </c>
      <c r="T313">
        <v>26</v>
      </c>
      <c r="U313" t="str">
        <f t="shared" si="9"/>
        <v>Aileen Whelan:1</v>
      </c>
      <c r="AR313">
        <v>23</v>
      </c>
    </row>
    <row r="314" spans="1:44" x14ac:dyDescent="0.2">
      <c r="A314" t="s">
        <v>178</v>
      </c>
      <c r="B314" t="s">
        <v>612</v>
      </c>
      <c r="C314" t="s">
        <v>613</v>
      </c>
      <c r="D314" t="s">
        <v>50</v>
      </c>
      <c r="E314" t="s">
        <v>32</v>
      </c>
      <c r="F314">
        <v>26</v>
      </c>
      <c r="G314">
        <v>1995</v>
      </c>
      <c r="H314">
        <v>14</v>
      </c>
      <c r="I314">
        <v>13</v>
      </c>
      <c r="J314">
        <v>1152</v>
      </c>
      <c r="K314">
        <v>1</v>
      </c>
      <c r="L314">
        <v>0</v>
      </c>
      <c r="M314">
        <v>1</v>
      </c>
      <c r="N314">
        <v>0</v>
      </c>
      <c r="O314">
        <v>0</v>
      </c>
      <c r="P314">
        <v>0</v>
      </c>
      <c r="Q314">
        <v>0</v>
      </c>
      <c r="R314">
        <f t="shared" si="8"/>
        <v>9.6450617283950615E-6</v>
      </c>
      <c r="S314" t="s">
        <v>339</v>
      </c>
      <c r="T314">
        <v>47</v>
      </c>
      <c r="U314" t="str">
        <f t="shared" si="9"/>
        <v>Alanna Kennedy:0</v>
      </c>
      <c r="AR314">
        <v>47</v>
      </c>
    </row>
    <row r="315" spans="1:44" x14ac:dyDescent="0.2">
      <c r="A315" t="s">
        <v>267</v>
      </c>
      <c r="B315" t="s">
        <v>606</v>
      </c>
      <c r="C315" t="s">
        <v>607</v>
      </c>
      <c r="D315" t="s">
        <v>42</v>
      </c>
      <c r="E315" t="s">
        <v>52</v>
      </c>
      <c r="F315">
        <v>22</v>
      </c>
      <c r="G315">
        <v>1999</v>
      </c>
      <c r="H315">
        <v>22</v>
      </c>
      <c r="I315">
        <v>19</v>
      </c>
      <c r="J315">
        <v>1577</v>
      </c>
      <c r="K315">
        <v>9</v>
      </c>
      <c r="L315">
        <v>4</v>
      </c>
      <c r="M315">
        <v>9</v>
      </c>
      <c r="N315">
        <v>0</v>
      </c>
      <c r="O315">
        <v>0</v>
      </c>
      <c r="P315">
        <v>0</v>
      </c>
      <c r="Q315">
        <v>0</v>
      </c>
      <c r="R315">
        <f t="shared" si="8"/>
        <v>6.3411540900443881E-5</v>
      </c>
      <c r="S315" t="s">
        <v>339</v>
      </c>
      <c r="T315">
        <v>42</v>
      </c>
      <c r="U315" t="str">
        <f t="shared" si="9"/>
        <v>Alessia Russo:4</v>
      </c>
      <c r="AR315">
        <v>21</v>
      </c>
    </row>
    <row r="316" spans="1:44" x14ac:dyDescent="0.2">
      <c r="A316" t="s">
        <v>143</v>
      </c>
      <c r="B316" t="s">
        <v>606</v>
      </c>
      <c r="C316" t="s">
        <v>607</v>
      </c>
      <c r="D316" t="s">
        <v>50</v>
      </c>
      <c r="E316" t="s">
        <v>32</v>
      </c>
      <c r="F316">
        <v>27</v>
      </c>
      <c r="G316">
        <v>1993</v>
      </c>
      <c r="H316">
        <v>22</v>
      </c>
      <c r="I316">
        <v>22</v>
      </c>
      <c r="J316">
        <v>1925</v>
      </c>
      <c r="K316">
        <v>4</v>
      </c>
      <c r="L316">
        <v>3</v>
      </c>
      <c r="M316">
        <v>2</v>
      </c>
      <c r="N316">
        <v>2</v>
      </c>
      <c r="O316">
        <v>2</v>
      </c>
      <c r="P316">
        <v>3</v>
      </c>
      <c r="Q316">
        <v>0</v>
      </c>
      <c r="R316">
        <f t="shared" si="8"/>
        <v>2.3088023088023087E-5</v>
      </c>
      <c r="S316" t="s">
        <v>339</v>
      </c>
      <c r="T316">
        <v>47</v>
      </c>
      <c r="U316" t="str">
        <f t="shared" si="9"/>
        <v>Alex Greenwood:3</v>
      </c>
      <c r="AR316">
        <v>11</v>
      </c>
    </row>
    <row r="317" spans="1:44" x14ac:dyDescent="0.2">
      <c r="A317" t="s">
        <v>381</v>
      </c>
      <c r="B317" t="s">
        <v>606</v>
      </c>
      <c r="C317" t="s">
        <v>607</v>
      </c>
      <c r="D317" t="s">
        <v>248</v>
      </c>
      <c r="E317" t="s">
        <v>27</v>
      </c>
      <c r="F317">
        <v>16</v>
      </c>
      <c r="G317">
        <v>2004</v>
      </c>
      <c r="H317">
        <v>1</v>
      </c>
      <c r="I317">
        <v>0</v>
      </c>
      <c r="J317">
        <v>13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f t="shared" si="8"/>
        <v>0</v>
      </c>
      <c r="S317" t="s">
        <v>339</v>
      </c>
      <c r="T317">
        <v>55</v>
      </c>
      <c r="U317" t="str">
        <f t="shared" si="9"/>
        <v>Alex Hennessy:0</v>
      </c>
      <c r="AR317">
        <v>11</v>
      </c>
    </row>
    <row r="318" spans="1:44" x14ac:dyDescent="0.2">
      <c r="A318" t="s">
        <v>194</v>
      </c>
      <c r="B318" t="s">
        <v>614</v>
      </c>
      <c r="C318" t="s">
        <v>615</v>
      </c>
      <c r="D318" t="s">
        <v>26</v>
      </c>
      <c r="E318" t="s">
        <v>37</v>
      </c>
      <c r="F318">
        <v>22</v>
      </c>
      <c r="G318">
        <v>1999</v>
      </c>
      <c r="H318">
        <v>21</v>
      </c>
      <c r="I318">
        <v>21</v>
      </c>
      <c r="J318">
        <v>1703</v>
      </c>
      <c r="K318">
        <v>2</v>
      </c>
      <c r="L318">
        <v>2</v>
      </c>
      <c r="M318">
        <v>1</v>
      </c>
      <c r="N318">
        <v>1</v>
      </c>
      <c r="O318">
        <v>1</v>
      </c>
      <c r="P318">
        <v>1</v>
      </c>
      <c r="Q318">
        <v>0</v>
      </c>
      <c r="R318">
        <f t="shared" si="8"/>
        <v>1.3048868010700071E-5</v>
      </c>
      <c r="S318" t="s">
        <v>339</v>
      </c>
      <c r="T318">
        <v>21</v>
      </c>
      <c r="U318" t="str">
        <f t="shared" si="9"/>
        <v>Alisha Lehmann:2</v>
      </c>
      <c r="AR318">
        <v>18</v>
      </c>
    </row>
    <row r="319" spans="1:44" x14ac:dyDescent="0.2">
      <c r="A319" t="s">
        <v>18</v>
      </c>
      <c r="B319" t="s">
        <v>616</v>
      </c>
      <c r="C319" t="s">
        <v>617</v>
      </c>
      <c r="D319" t="s">
        <v>23</v>
      </c>
      <c r="E319" t="s">
        <v>20</v>
      </c>
      <c r="F319">
        <v>20</v>
      </c>
      <c r="G319">
        <v>2001</v>
      </c>
      <c r="H319">
        <v>5</v>
      </c>
      <c r="I319">
        <v>0</v>
      </c>
      <c r="J319">
        <v>47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f t="shared" si="8"/>
        <v>0</v>
      </c>
      <c r="S319" t="s">
        <v>339</v>
      </c>
      <c r="T319">
        <v>56</v>
      </c>
      <c r="U319" t="str">
        <f t="shared" si="9"/>
        <v>Alsu Abdullina:0</v>
      </c>
      <c r="AR319">
        <v>16</v>
      </c>
    </row>
    <row r="320" spans="1:44" x14ac:dyDescent="0.2">
      <c r="A320" t="s">
        <v>110</v>
      </c>
      <c r="B320" t="s">
        <v>618</v>
      </c>
      <c r="C320" t="s">
        <v>619</v>
      </c>
      <c r="D320" t="s">
        <v>23</v>
      </c>
      <c r="E320" t="s">
        <v>35</v>
      </c>
      <c r="F320">
        <v>25</v>
      </c>
      <c r="G320">
        <v>1995</v>
      </c>
      <c r="H320">
        <v>20</v>
      </c>
      <c r="I320">
        <v>19</v>
      </c>
      <c r="J320">
        <v>1727</v>
      </c>
      <c r="K320">
        <v>2</v>
      </c>
      <c r="L320">
        <v>2</v>
      </c>
      <c r="M320">
        <v>2</v>
      </c>
      <c r="N320">
        <v>0</v>
      </c>
      <c r="O320">
        <v>0</v>
      </c>
      <c r="P320">
        <v>1</v>
      </c>
      <c r="Q320">
        <v>0</v>
      </c>
      <c r="R320">
        <f t="shared" si="8"/>
        <v>1.2867528791095669E-5</v>
      </c>
      <c r="S320" t="s">
        <v>339</v>
      </c>
      <c r="T320">
        <v>25</v>
      </c>
      <c r="U320" t="str">
        <f t="shared" si="9"/>
        <v>Amalie Eikeland:2</v>
      </c>
      <c r="AR320">
        <v>47</v>
      </c>
    </row>
    <row r="321" spans="1:44" x14ac:dyDescent="0.2">
      <c r="A321" t="s">
        <v>340</v>
      </c>
      <c r="B321" t="s">
        <v>606</v>
      </c>
      <c r="C321" t="s">
        <v>607</v>
      </c>
      <c r="D321" t="s">
        <v>23</v>
      </c>
      <c r="E321" t="s">
        <v>30</v>
      </c>
      <c r="F321">
        <v>21</v>
      </c>
      <c r="G321">
        <v>1999</v>
      </c>
      <c r="H321">
        <v>19</v>
      </c>
      <c r="I321">
        <v>1</v>
      </c>
      <c r="J321">
        <v>347</v>
      </c>
      <c r="K321">
        <v>1</v>
      </c>
      <c r="L321">
        <v>0</v>
      </c>
      <c r="M321">
        <v>1</v>
      </c>
      <c r="N321">
        <v>0</v>
      </c>
      <c r="O321">
        <v>1</v>
      </c>
      <c r="P321">
        <v>0</v>
      </c>
      <c r="Q321">
        <v>0</v>
      </c>
      <c r="R321">
        <f t="shared" si="8"/>
        <v>3.202049311559398E-5</v>
      </c>
      <c r="S321" t="s">
        <v>339</v>
      </c>
      <c r="T321">
        <v>32</v>
      </c>
      <c r="U321" t="str">
        <f t="shared" si="9"/>
        <v>Angela Addison:0</v>
      </c>
      <c r="AR321">
        <v>47</v>
      </c>
    </row>
    <row r="322" spans="1:44" x14ac:dyDescent="0.2">
      <c r="A322" t="s">
        <v>232</v>
      </c>
      <c r="B322" t="s">
        <v>626</v>
      </c>
      <c r="C322" t="s">
        <v>627</v>
      </c>
      <c r="D322" t="s">
        <v>50</v>
      </c>
      <c r="E322" t="s">
        <v>20</v>
      </c>
      <c r="F322">
        <v>22</v>
      </c>
      <c r="G322">
        <v>1999</v>
      </c>
      <c r="H322">
        <v>14</v>
      </c>
      <c r="I322">
        <v>12</v>
      </c>
      <c r="J322">
        <v>976</v>
      </c>
      <c r="K322">
        <v>1</v>
      </c>
      <c r="L322">
        <v>0</v>
      </c>
      <c r="M322">
        <v>1</v>
      </c>
      <c r="N322">
        <v>0</v>
      </c>
      <c r="O322">
        <v>0</v>
      </c>
      <c r="P322">
        <v>0</v>
      </c>
      <c r="Q322">
        <v>0</v>
      </c>
      <c r="R322">
        <f t="shared" si="8"/>
        <v>1.1384335154826958E-5</v>
      </c>
      <c r="S322" t="s">
        <v>339</v>
      </c>
      <c r="T322">
        <v>56</v>
      </c>
      <c r="U322" t="str">
        <f t="shared" si="9"/>
        <v>Aniek Nouwen:0</v>
      </c>
      <c r="AR322">
        <v>16</v>
      </c>
    </row>
    <row r="323" spans="1:44" x14ac:dyDescent="0.2">
      <c r="A323" t="s">
        <v>344</v>
      </c>
      <c r="B323" t="s">
        <v>606</v>
      </c>
      <c r="C323" t="s">
        <v>607</v>
      </c>
      <c r="D323" t="s">
        <v>50</v>
      </c>
      <c r="E323" t="s">
        <v>37</v>
      </c>
      <c r="F323">
        <v>36</v>
      </c>
      <c r="G323">
        <v>1985</v>
      </c>
      <c r="H323">
        <v>21</v>
      </c>
      <c r="I323">
        <v>21</v>
      </c>
      <c r="J323">
        <v>1889</v>
      </c>
      <c r="K323">
        <v>1</v>
      </c>
      <c r="L323">
        <v>0</v>
      </c>
      <c r="M323">
        <v>1</v>
      </c>
      <c r="N323">
        <v>0</v>
      </c>
      <c r="O323">
        <v>0</v>
      </c>
      <c r="P323">
        <v>2</v>
      </c>
      <c r="Q323">
        <v>0</v>
      </c>
      <c r="R323">
        <f t="shared" ref="R323:R386" si="10">K323/J323/90</f>
        <v>5.8820069407681902E-6</v>
      </c>
      <c r="S323" t="s">
        <v>339</v>
      </c>
      <c r="T323">
        <v>21</v>
      </c>
      <c r="U323" t="str">
        <f t="shared" ref="U323:U386" si="11">CONCATENATE(A323, ":", L323)</f>
        <v>Anita Asante:0</v>
      </c>
      <c r="AR323">
        <v>56</v>
      </c>
    </row>
    <row r="324" spans="1:44" x14ac:dyDescent="0.2">
      <c r="A324" t="s">
        <v>342</v>
      </c>
      <c r="B324" t="s">
        <v>658</v>
      </c>
      <c r="C324" t="s">
        <v>659</v>
      </c>
      <c r="D324" t="s">
        <v>42</v>
      </c>
      <c r="E324" t="s">
        <v>55</v>
      </c>
      <c r="F324">
        <v>24</v>
      </c>
      <c r="G324">
        <v>1997</v>
      </c>
      <c r="H324">
        <v>14</v>
      </c>
      <c r="I324">
        <v>12</v>
      </c>
      <c r="J324">
        <v>936</v>
      </c>
      <c r="K324">
        <v>4</v>
      </c>
      <c r="L324">
        <v>1</v>
      </c>
      <c r="M324">
        <v>4</v>
      </c>
      <c r="N324">
        <v>0</v>
      </c>
      <c r="O324">
        <v>0</v>
      </c>
      <c r="P324">
        <v>0</v>
      </c>
      <c r="Q324">
        <v>0</v>
      </c>
      <c r="R324">
        <f t="shared" si="10"/>
        <v>4.7483380816714154E-5</v>
      </c>
      <c r="S324" t="s">
        <v>339</v>
      </c>
      <c r="T324">
        <v>20</v>
      </c>
      <c r="U324" t="str">
        <f t="shared" si="11"/>
        <v>Anna Anvegard:1</v>
      </c>
      <c r="AR324">
        <v>21</v>
      </c>
    </row>
    <row r="325" spans="1:44" x14ac:dyDescent="0.2">
      <c r="A325" t="s">
        <v>193</v>
      </c>
      <c r="B325" t="s">
        <v>628</v>
      </c>
      <c r="C325" t="s">
        <v>629</v>
      </c>
      <c r="D325" t="s">
        <v>40</v>
      </c>
      <c r="E325" t="s">
        <v>24</v>
      </c>
      <c r="F325">
        <v>20</v>
      </c>
      <c r="G325">
        <v>2001</v>
      </c>
      <c r="H325">
        <v>4</v>
      </c>
      <c r="I325">
        <v>4</v>
      </c>
      <c r="J325">
        <v>360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f t="shared" si="10"/>
        <v>0</v>
      </c>
      <c r="S325" t="s">
        <v>339</v>
      </c>
      <c r="T325">
        <v>27</v>
      </c>
      <c r="U325" t="str">
        <f t="shared" si="11"/>
        <v>Anna Leat:0</v>
      </c>
      <c r="AR325">
        <v>21</v>
      </c>
    </row>
    <row r="326" spans="1:44" x14ac:dyDescent="0.2">
      <c r="A326" t="s">
        <v>239</v>
      </c>
      <c r="B326" t="s">
        <v>606</v>
      </c>
      <c r="C326" t="s">
        <v>607</v>
      </c>
      <c r="D326" t="s">
        <v>50</v>
      </c>
      <c r="E326" t="s">
        <v>27</v>
      </c>
      <c r="F326">
        <v>22</v>
      </c>
      <c r="G326">
        <v>1999</v>
      </c>
      <c r="H326">
        <v>4</v>
      </c>
      <c r="I326">
        <v>1</v>
      </c>
      <c r="J326">
        <v>129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f t="shared" si="10"/>
        <v>0</v>
      </c>
      <c r="S326" t="s">
        <v>339</v>
      </c>
      <c r="T326">
        <v>55</v>
      </c>
      <c r="U326" t="str">
        <f t="shared" si="11"/>
        <v>Anna Patten:0</v>
      </c>
      <c r="AR326">
        <v>47</v>
      </c>
    </row>
    <row r="327" spans="1:44" x14ac:dyDescent="0.2">
      <c r="A327" t="s">
        <v>239</v>
      </c>
      <c r="B327" t="s">
        <v>606</v>
      </c>
      <c r="C327" t="s">
        <v>607</v>
      </c>
      <c r="D327" t="s">
        <v>50</v>
      </c>
      <c r="E327" t="s">
        <v>37</v>
      </c>
      <c r="F327">
        <v>22</v>
      </c>
      <c r="G327">
        <v>1999</v>
      </c>
      <c r="H327">
        <v>7</v>
      </c>
      <c r="I327">
        <v>7</v>
      </c>
      <c r="J327">
        <v>630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f t="shared" si="10"/>
        <v>0</v>
      </c>
      <c r="S327" t="s">
        <v>339</v>
      </c>
      <c r="T327">
        <v>21</v>
      </c>
      <c r="U327" t="str">
        <f t="shared" si="11"/>
        <v>Anna Patten:0</v>
      </c>
      <c r="AR327">
        <v>23</v>
      </c>
    </row>
    <row r="328" spans="1:44" x14ac:dyDescent="0.2">
      <c r="A328" t="s">
        <v>57</v>
      </c>
      <c r="B328" t="s">
        <v>630</v>
      </c>
      <c r="C328" t="s">
        <v>631</v>
      </c>
      <c r="D328" t="s">
        <v>40</v>
      </c>
      <c r="E328" t="s">
        <v>20</v>
      </c>
      <c r="F328">
        <v>30</v>
      </c>
      <c r="G328">
        <v>1990</v>
      </c>
      <c r="H328">
        <v>14</v>
      </c>
      <c r="I328">
        <v>14</v>
      </c>
      <c r="J328">
        <v>1188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1</v>
      </c>
      <c r="Q328">
        <v>1</v>
      </c>
      <c r="R328">
        <f t="shared" si="10"/>
        <v>0</v>
      </c>
      <c r="S328" t="s">
        <v>339</v>
      </c>
      <c r="T328">
        <v>56</v>
      </c>
      <c r="U328" t="str">
        <f t="shared" si="11"/>
        <v>Ann-Katrin Berger:0</v>
      </c>
      <c r="AR328">
        <v>47</v>
      </c>
    </row>
    <row r="329" spans="1:44" x14ac:dyDescent="0.2">
      <c r="A329" t="s">
        <v>208</v>
      </c>
      <c r="B329" t="s">
        <v>632</v>
      </c>
      <c r="C329" t="s">
        <v>633</v>
      </c>
      <c r="D329" t="s">
        <v>50</v>
      </c>
      <c r="E329" t="s">
        <v>52</v>
      </c>
      <c r="F329">
        <v>25</v>
      </c>
      <c r="G329">
        <v>1995</v>
      </c>
      <c r="H329">
        <v>12</v>
      </c>
      <c r="I329">
        <v>12</v>
      </c>
      <c r="J329">
        <v>1080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f t="shared" si="10"/>
        <v>0</v>
      </c>
      <c r="S329" t="s">
        <v>339</v>
      </c>
      <c r="T329">
        <v>42</v>
      </c>
      <c r="U329" t="str">
        <f t="shared" si="11"/>
        <v>Aoife Mannion:0</v>
      </c>
      <c r="AR329">
        <v>58</v>
      </c>
    </row>
    <row r="330" spans="1:44" x14ac:dyDescent="0.2">
      <c r="A330" t="s">
        <v>415</v>
      </c>
      <c r="D330" t="s">
        <v>50</v>
      </c>
      <c r="E330" t="s">
        <v>360</v>
      </c>
      <c r="H330">
        <v>1</v>
      </c>
      <c r="I330">
        <v>0</v>
      </c>
      <c r="J330">
        <v>5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f t="shared" si="10"/>
        <v>0</v>
      </c>
      <c r="S330" t="s">
        <v>339</v>
      </c>
      <c r="T330">
        <v>11</v>
      </c>
      <c r="U330" t="str">
        <f t="shared" si="11"/>
        <v>Arabella Suttie:0</v>
      </c>
      <c r="AR330">
        <v>16</v>
      </c>
    </row>
    <row r="331" spans="1:44" x14ac:dyDescent="0.2">
      <c r="A331" t="s">
        <v>228</v>
      </c>
      <c r="B331" t="s">
        <v>606</v>
      </c>
      <c r="C331" t="s">
        <v>607</v>
      </c>
      <c r="D331" t="s">
        <v>29</v>
      </c>
      <c r="E331" t="s">
        <v>30</v>
      </c>
      <c r="F331">
        <v>28</v>
      </c>
      <c r="G331">
        <v>1993</v>
      </c>
      <c r="H331">
        <v>21</v>
      </c>
      <c r="I331">
        <v>20</v>
      </c>
      <c r="J331">
        <v>1839</v>
      </c>
      <c r="K331">
        <v>3</v>
      </c>
      <c r="L331">
        <v>2</v>
      </c>
      <c r="M331">
        <v>3</v>
      </c>
      <c r="N331">
        <v>0</v>
      </c>
      <c r="O331">
        <v>0</v>
      </c>
      <c r="P331">
        <v>4</v>
      </c>
      <c r="Q331">
        <v>0</v>
      </c>
      <c r="R331">
        <f t="shared" si="10"/>
        <v>1.8125793003443903E-5</v>
      </c>
      <c r="S331" t="s">
        <v>339</v>
      </c>
      <c r="T331">
        <v>32</v>
      </c>
      <c r="U331" t="str">
        <f t="shared" si="11"/>
        <v>Ashleigh Neville:2</v>
      </c>
    </row>
    <row r="332" spans="1:44" x14ac:dyDescent="0.2">
      <c r="A332" t="s">
        <v>250</v>
      </c>
      <c r="B332" t="s">
        <v>634</v>
      </c>
      <c r="C332" t="s">
        <v>635</v>
      </c>
      <c r="D332" t="s">
        <v>50</v>
      </c>
      <c r="E332" t="s">
        <v>46</v>
      </c>
      <c r="F332">
        <v>23</v>
      </c>
      <c r="G332">
        <v>1998</v>
      </c>
      <c r="H332">
        <v>20</v>
      </c>
      <c r="I332">
        <v>20</v>
      </c>
      <c r="J332">
        <v>1740</v>
      </c>
      <c r="K332">
        <v>1</v>
      </c>
      <c r="L332">
        <v>1</v>
      </c>
      <c r="M332">
        <v>1</v>
      </c>
      <c r="N332">
        <v>0</v>
      </c>
      <c r="O332">
        <v>0</v>
      </c>
      <c r="P332">
        <v>3</v>
      </c>
      <c r="Q332">
        <v>0</v>
      </c>
      <c r="R332">
        <f t="shared" si="10"/>
        <v>6.385696040868455E-6</v>
      </c>
      <c r="S332" t="s">
        <v>339</v>
      </c>
      <c r="T332">
        <v>13</v>
      </c>
      <c r="U332" t="str">
        <f t="shared" si="11"/>
        <v>Ashleigh Plumptre:1</v>
      </c>
    </row>
    <row r="333" spans="1:44" x14ac:dyDescent="0.2">
      <c r="A333" t="s">
        <v>28</v>
      </c>
      <c r="B333" t="s">
        <v>606</v>
      </c>
      <c r="C333" t="s">
        <v>607</v>
      </c>
      <c r="D333" t="s">
        <v>29</v>
      </c>
      <c r="E333" t="s">
        <v>30</v>
      </c>
      <c r="F333">
        <v>19</v>
      </c>
      <c r="G333">
        <v>2001</v>
      </c>
      <c r="H333">
        <v>13</v>
      </c>
      <c r="I333">
        <v>10</v>
      </c>
      <c r="J333">
        <v>961</v>
      </c>
      <c r="K333">
        <v>1</v>
      </c>
      <c r="L333">
        <v>0</v>
      </c>
      <c r="M333">
        <v>1</v>
      </c>
      <c r="N333">
        <v>0</v>
      </c>
      <c r="O333">
        <v>0</v>
      </c>
      <c r="P333">
        <v>3</v>
      </c>
      <c r="Q333">
        <v>0</v>
      </c>
      <c r="R333">
        <f t="shared" si="10"/>
        <v>1.1562030292519368E-5</v>
      </c>
      <c r="S333" t="s">
        <v>339</v>
      </c>
      <c r="T333">
        <v>32</v>
      </c>
      <c r="U333" t="str">
        <f t="shared" si="11"/>
        <v>Asmita Ale:0</v>
      </c>
    </row>
    <row r="334" spans="1:44" x14ac:dyDescent="0.2">
      <c r="A334" t="s">
        <v>128</v>
      </c>
      <c r="B334" t="s">
        <v>636</v>
      </c>
      <c r="C334" t="s">
        <v>637</v>
      </c>
      <c r="D334" t="s">
        <v>34</v>
      </c>
      <c r="E334" t="s">
        <v>55</v>
      </c>
      <c r="F334">
        <v>24</v>
      </c>
      <c r="G334">
        <v>1996</v>
      </c>
      <c r="H334">
        <v>18</v>
      </c>
      <c r="I334">
        <v>18</v>
      </c>
      <c r="J334">
        <v>1435</v>
      </c>
      <c r="K334">
        <v>1</v>
      </c>
      <c r="L334">
        <v>0</v>
      </c>
      <c r="M334">
        <v>1</v>
      </c>
      <c r="N334">
        <v>0</v>
      </c>
      <c r="O334">
        <v>0</v>
      </c>
      <c r="P334">
        <v>1</v>
      </c>
      <c r="Q334">
        <v>0</v>
      </c>
      <c r="R334">
        <f t="shared" si="10"/>
        <v>7.7429345722028649E-6</v>
      </c>
      <c r="S334" t="s">
        <v>339</v>
      </c>
      <c r="T334">
        <v>20</v>
      </c>
      <c r="U334" t="str">
        <f t="shared" si="11"/>
        <v>Aurora Galli:0</v>
      </c>
    </row>
    <row r="335" spans="1:44" x14ac:dyDescent="0.2">
      <c r="A335" t="s">
        <v>45</v>
      </c>
      <c r="B335" t="s">
        <v>606</v>
      </c>
      <c r="C335" t="s">
        <v>607</v>
      </c>
      <c r="D335" t="s">
        <v>42</v>
      </c>
      <c r="E335" t="s">
        <v>46</v>
      </c>
      <c r="F335">
        <v>15</v>
      </c>
      <c r="G335">
        <v>2006</v>
      </c>
      <c r="H335">
        <v>2</v>
      </c>
      <c r="I335">
        <v>0</v>
      </c>
      <c r="J335">
        <v>29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f t="shared" si="10"/>
        <v>0</v>
      </c>
      <c r="S335" t="s">
        <v>339</v>
      </c>
      <c r="T335">
        <v>13</v>
      </c>
      <c r="U335" t="str">
        <f t="shared" si="11"/>
        <v>Ava Baker:0</v>
      </c>
    </row>
    <row r="336" spans="1:44" x14ac:dyDescent="0.2">
      <c r="A336" t="s">
        <v>216</v>
      </c>
      <c r="B336" t="s">
        <v>606</v>
      </c>
      <c r="C336" t="s">
        <v>607</v>
      </c>
      <c r="D336" t="s">
        <v>42</v>
      </c>
      <c r="E336" t="s">
        <v>27</v>
      </c>
      <c r="F336">
        <v>26</v>
      </c>
      <c r="G336">
        <v>1995</v>
      </c>
      <c r="H336">
        <v>22</v>
      </c>
      <c r="I336">
        <v>20</v>
      </c>
      <c r="J336">
        <v>1722</v>
      </c>
      <c r="K336">
        <v>11</v>
      </c>
      <c r="L336">
        <v>8</v>
      </c>
      <c r="M336">
        <v>11</v>
      </c>
      <c r="N336">
        <v>0</v>
      </c>
      <c r="O336">
        <v>0</v>
      </c>
      <c r="P336">
        <v>1</v>
      </c>
      <c r="Q336">
        <v>0</v>
      </c>
      <c r="R336">
        <f t="shared" si="10"/>
        <v>7.0976900245192933E-5</v>
      </c>
      <c r="S336" t="s">
        <v>339</v>
      </c>
      <c r="T336">
        <v>55</v>
      </c>
      <c r="U336" t="str">
        <f t="shared" si="11"/>
        <v>Beth Mead:8</v>
      </c>
    </row>
    <row r="337" spans="1:21" x14ac:dyDescent="0.2">
      <c r="A337" t="s">
        <v>400</v>
      </c>
      <c r="B337" t="s">
        <v>624</v>
      </c>
      <c r="C337" t="s">
        <v>625</v>
      </c>
      <c r="D337" t="s">
        <v>19</v>
      </c>
      <c r="E337" t="s">
        <v>35</v>
      </c>
      <c r="F337">
        <v>18</v>
      </c>
      <c r="G337">
        <v>2003</v>
      </c>
      <c r="H337">
        <v>4</v>
      </c>
      <c r="I337">
        <v>0</v>
      </c>
      <c r="J337">
        <v>68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f t="shared" si="10"/>
        <v>0</v>
      </c>
      <c r="S337" t="s">
        <v>339</v>
      </c>
      <c r="T337">
        <v>25</v>
      </c>
      <c r="U337" t="str">
        <f t="shared" si="11"/>
        <v>Beth Roberts:0</v>
      </c>
    </row>
    <row r="338" spans="1:21" x14ac:dyDescent="0.2">
      <c r="A338" t="s">
        <v>111</v>
      </c>
      <c r="B338" t="s">
        <v>606</v>
      </c>
      <c r="C338" t="s">
        <v>607</v>
      </c>
      <c r="D338" t="s">
        <v>26</v>
      </c>
      <c r="E338" t="s">
        <v>20</v>
      </c>
      <c r="F338">
        <v>27</v>
      </c>
      <c r="G338">
        <v>1994</v>
      </c>
      <c r="H338">
        <v>20</v>
      </c>
      <c r="I338">
        <v>11</v>
      </c>
      <c r="J338">
        <v>870</v>
      </c>
      <c r="K338">
        <v>8</v>
      </c>
      <c r="L338">
        <v>4</v>
      </c>
      <c r="M338">
        <v>7</v>
      </c>
      <c r="N338">
        <v>1</v>
      </c>
      <c r="O338">
        <v>1</v>
      </c>
      <c r="P338">
        <v>0</v>
      </c>
      <c r="Q338">
        <v>0</v>
      </c>
      <c r="R338">
        <f t="shared" si="10"/>
        <v>1.0217113665389528E-4</v>
      </c>
      <c r="S338" t="s">
        <v>339</v>
      </c>
      <c r="T338">
        <v>56</v>
      </c>
      <c r="U338" t="str">
        <f t="shared" si="11"/>
        <v>Bethany England:4</v>
      </c>
    </row>
    <row r="339" spans="1:21" x14ac:dyDescent="0.2">
      <c r="A339" t="s">
        <v>355</v>
      </c>
      <c r="B339" t="s">
        <v>606</v>
      </c>
      <c r="C339" t="s">
        <v>607</v>
      </c>
      <c r="D339" t="s">
        <v>26</v>
      </c>
      <c r="E339" t="s">
        <v>24</v>
      </c>
      <c r="F339">
        <v>18</v>
      </c>
      <c r="G339">
        <v>2003</v>
      </c>
      <c r="H339">
        <v>1</v>
      </c>
      <c r="I339">
        <v>0</v>
      </c>
      <c r="J339">
        <v>1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f t="shared" si="10"/>
        <v>0</v>
      </c>
      <c r="S339" t="s">
        <v>339</v>
      </c>
      <c r="T339">
        <v>27</v>
      </c>
      <c r="U339" t="str">
        <f t="shared" si="11"/>
        <v>Brooke Cairns:0</v>
      </c>
    </row>
    <row r="340" spans="1:21" x14ac:dyDescent="0.2">
      <c r="A340" t="s">
        <v>356</v>
      </c>
      <c r="B340" t="s">
        <v>606</v>
      </c>
      <c r="C340" t="s">
        <v>607</v>
      </c>
      <c r="D340" t="s">
        <v>23</v>
      </c>
      <c r="E340" t="s">
        <v>35</v>
      </c>
      <c r="F340">
        <v>32</v>
      </c>
      <c r="G340">
        <v>1989</v>
      </c>
      <c r="H340">
        <v>8</v>
      </c>
      <c r="I340">
        <v>8</v>
      </c>
      <c r="J340">
        <v>720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1</v>
      </c>
      <c r="Q340">
        <v>0</v>
      </c>
      <c r="R340">
        <f t="shared" si="10"/>
        <v>0</v>
      </c>
      <c r="S340" t="s">
        <v>339</v>
      </c>
      <c r="T340">
        <v>25</v>
      </c>
      <c r="U340" t="str">
        <f t="shared" si="11"/>
        <v>Brooke Chaplen:0</v>
      </c>
    </row>
    <row r="341" spans="1:21" x14ac:dyDescent="0.2">
      <c r="A341" t="s">
        <v>124</v>
      </c>
      <c r="B341" t="s">
        <v>612</v>
      </c>
      <c r="C341" t="s">
        <v>613</v>
      </c>
      <c r="D341" t="s">
        <v>42</v>
      </c>
      <c r="E341" t="s">
        <v>27</v>
      </c>
      <c r="F341">
        <v>26</v>
      </c>
      <c r="G341">
        <v>1994</v>
      </c>
      <c r="H341">
        <v>16</v>
      </c>
      <c r="I341">
        <v>9</v>
      </c>
      <c r="J341">
        <v>795</v>
      </c>
      <c r="K341">
        <v>4</v>
      </c>
      <c r="L341">
        <v>3</v>
      </c>
      <c r="M341">
        <v>4</v>
      </c>
      <c r="N341">
        <v>0</v>
      </c>
      <c r="O341">
        <v>0</v>
      </c>
      <c r="P341">
        <v>2</v>
      </c>
      <c r="Q341">
        <v>0</v>
      </c>
      <c r="R341">
        <f t="shared" si="10"/>
        <v>5.5904961565338921E-5</v>
      </c>
      <c r="S341" t="s">
        <v>339</v>
      </c>
      <c r="T341">
        <v>55</v>
      </c>
      <c r="U341" t="str">
        <f t="shared" si="11"/>
        <v>Caitlin Foord:3</v>
      </c>
    </row>
    <row r="342" spans="1:21" x14ac:dyDescent="0.2">
      <c r="A342" t="s">
        <v>417</v>
      </c>
      <c r="B342" t="s">
        <v>652</v>
      </c>
      <c r="C342" t="s">
        <v>653</v>
      </c>
      <c r="D342" t="s">
        <v>34</v>
      </c>
      <c r="E342" t="s">
        <v>32</v>
      </c>
      <c r="F342">
        <v>26</v>
      </c>
      <c r="G342">
        <v>1995</v>
      </c>
      <c r="H342">
        <v>19</v>
      </c>
      <c r="I342">
        <v>17</v>
      </c>
      <c r="J342">
        <v>1457</v>
      </c>
      <c r="K342">
        <v>6</v>
      </c>
      <c r="L342">
        <v>5</v>
      </c>
      <c r="M342">
        <v>6</v>
      </c>
      <c r="N342">
        <v>0</v>
      </c>
      <c r="O342">
        <v>0</v>
      </c>
      <c r="P342">
        <v>1</v>
      </c>
      <c r="Q342">
        <v>0</v>
      </c>
      <c r="R342">
        <f t="shared" si="10"/>
        <v>4.5756119881034089E-5</v>
      </c>
      <c r="S342" t="s">
        <v>339</v>
      </c>
      <c r="T342">
        <v>47</v>
      </c>
      <c r="U342" t="str">
        <f t="shared" si="11"/>
        <v>Caroline Weir:5</v>
      </c>
    </row>
    <row r="343" spans="1:21" x14ac:dyDescent="0.2">
      <c r="A343" t="s">
        <v>173</v>
      </c>
      <c r="B343" t="s">
        <v>624</v>
      </c>
      <c r="C343" t="s">
        <v>625</v>
      </c>
      <c r="D343" t="s">
        <v>26</v>
      </c>
      <c r="E343" t="s">
        <v>52</v>
      </c>
      <c r="F343">
        <v>17</v>
      </c>
      <c r="G343">
        <v>2003</v>
      </c>
      <c r="H343">
        <v>3</v>
      </c>
      <c r="I343">
        <v>0</v>
      </c>
      <c r="J343">
        <v>24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f t="shared" si="10"/>
        <v>0</v>
      </c>
      <c r="S343" t="s">
        <v>339</v>
      </c>
      <c r="T343">
        <v>42</v>
      </c>
      <c r="U343" t="str">
        <f t="shared" si="11"/>
        <v>Carrie Jones:0</v>
      </c>
    </row>
    <row r="344" spans="1:21" x14ac:dyDescent="0.2">
      <c r="A344" t="s">
        <v>404</v>
      </c>
      <c r="B344" t="s">
        <v>620</v>
      </c>
      <c r="C344" t="s">
        <v>621</v>
      </c>
      <c r="D344" t="s">
        <v>50</v>
      </c>
      <c r="E344" t="s">
        <v>360</v>
      </c>
      <c r="F344">
        <v>31</v>
      </c>
      <c r="G344">
        <v>1990</v>
      </c>
      <c r="H344">
        <v>5</v>
      </c>
      <c r="I344">
        <v>5</v>
      </c>
      <c r="J344">
        <v>421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f t="shared" si="10"/>
        <v>0</v>
      </c>
      <c r="S344" t="s">
        <v>339</v>
      </c>
      <c r="T344">
        <v>11</v>
      </c>
      <c r="U344" t="str">
        <f t="shared" si="11"/>
        <v>Cecilie Sandvej:0</v>
      </c>
    </row>
    <row r="345" spans="1:21" x14ac:dyDescent="0.2">
      <c r="A345" t="s">
        <v>68</v>
      </c>
      <c r="B345" t="s">
        <v>606</v>
      </c>
      <c r="C345" t="s">
        <v>607</v>
      </c>
      <c r="D345" t="s">
        <v>42</v>
      </c>
      <c r="E345" t="s">
        <v>37</v>
      </c>
      <c r="F345">
        <v>25</v>
      </c>
      <c r="G345">
        <v>1995</v>
      </c>
      <c r="H345">
        <v>18</v>
      </c>
      <c r="I345">
        <v>11</v>
      </c>
      <c r="J345">
        <v>996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1</v>
      </c>
      <c r="Q345">
        <v>0</v>
      </c>
      <c r="R345">
        <f t="shared" si="10"/>
        <v>0</v>
      </c>
      <c r="S345" t="s">
        <v>339</v>
      </c>
      <c r="T345">
        <v>21</v>
      </c>
      <c r="U345" t="str">
        <f t="shared" si="11"/>
        <v>Chantelle Boye-Hlorkah:0</v>
      </c>
    </row>
    <row r="346" spans="1:21" x14ac:dyDescent="0.2">
      <c r="A346" t="s">
        <v>362</v>
      </c>
      <c r="B346" t="s">
        <v>606</v>
      </c>
      <c r="C346" t="s">
        <v>607</v>
      </c>
      <c r="D346" t="s">
        <v>23</v>
      </c>
      <c r="E346" t="s">
        <v>46</v>
      </c>
      <c r="F346">
        <v>23</v>
      </c>
      <c r="G346">
        <v>1998</v>
      </c>
      <c r="H346">
        <v>6</v>
      </c>
      <c r="I346">
        <v>0</v>
      </c>
      <c r="J346">
        <v>174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1</v>
      </c>
      <c r="Q346">
        <v>0</v>
      </c>
      <c r="R346">
        <f t="shared" si="10"/>
        <v>0</v>
      </c>
      <c r="S346" t="s">
        <v>339</v>
      </c>
      <c r="T346">
        <v>13</v>
      </c>
      <c r="U346" t="str">
        <f t="shared" si="11"/>
        <v>Charlotte Devlin:0</v>
      </c>
    </row>
    <row r="347" spans="1:21" x14ac:dyDescent="0.2">
      <c r="A347" t="s">
        <v>312</v>
      </c>
      <c r="B347" t="s">
        <v>606</v>
      </c>
      <c r="C347" t="s">
        <v>607</v>
      </c>
      <c r="D347" t="s">
        <v>42</v>
      </c>
      <c r="E347" t="s">
        <v>30</v>
      </c>
      <c r="F347">
        <v>28</v>
      </c>
      <c r="G347">
        <v>1992</v>
      </c>
      <c r="H347">
        <v>10</v>
      </c>
      <c r="I347">
        <v>4</v>
      </c>
      <c r="J347">
        <v>494</v>
      </c>
      <c r="K347">
        <v>0</v>
      </c>
      <c r="L347">
        <v>1</v>
      </c>
      <c r="M347">
        <v>0</v>
      </c>
      <c r="N347">
        <v>0</v>
      </c>
      <c r="O347">
        <v>0</v>
      </c>
      <c r="P347">
        <v>1</v>
      </c>
      <c r="Q347">
        <v>0</v>
      </c>
      <c r="R347">
        <f t="shared" si="10"/>
        <v>0</v>
      </c>
      <c r="S347" t="s">
        <v>339</v>
      </c>
      <c r="T347">
        <v>32</v>
      </c>
      <c r="U347" t="str">
        <f t="shared" si="11"/>
        <v>Chioma Ubogagu:1</v>
      </c>
    </row>
    <row r="348" spans="1:21" x14ac:dyDescent="0.2">
      <c r="A348" t="s">
        <v>343</v>
      </c>
      <c r="B348" t="s">
        <v>652</v>
      </c>
      <c r="C348" t="s">
        <v>653</v>
      </c>
      <c r="D348" t="s">
        <v>23</v>
      </c>
      <c r="E348" t="s">
        <v>37</v>
      </c>
      <c r="F348">
        <v>26</v>
      </c>
      <c r="G348">
        <v>1995</v>
      </c>
      <c r="H348">
        <v>17</v>
      </c>
      <c r="I348">
        <v>12</v>
      </c>
      <c r="J348">
        <v>973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1</v>
      </c>
      <c r="Q348">
        <v>0</v>
      </c>
      <c r="R348">
        <f t="shared" si="10"/>
        <v>0</v>
      </c>
      <c r="S348" t="s">
        <v>339</v>
      </c>
      <c r="T348">
        <v>21</v>
      </c>
      <c r="U348" t="str">
        <f t="shared" si="11"/>
        <v>Chloe Arthur:0</v>
      </c>
    </row>
    <row r="349" spans="1:21" x14ac:dyDescent="0.2">
      <c r="A349" t="s">
        <v>177</v>
      </c>
      <c r="B349" t="s">
        <v>606</v>
      </c>
      <c r="C349" t="s">
        <v>607</v>
      </c>
      <c r="D349" t="s">
        <v>26</v>
      </c>
      <c r="E349" t="s">
        <v>32</v>
      </c>
      <c r="F349">
        <v>23</v>
      </c>
      <c r="G349">
        <v>1998</v>
      </c>
      <c r="H349">
        <v>5</v>
      </c>
      <c r="I349">
        <v>3</v>
      </c>
      <c r="J349">
        <v>302</v>
      </c>
      <c r="K349">
        <v>1</v>
      </c>
      <c r="L349">
        <v>3</v>
      </c>
      <c r="M349">
        <v>1</v>
      </c>
      <c r="N349">
        <v>0</v>
      </c>
      <c r="O349">
        <v>0</v>
      </c>
      <c r="P349">
        <v>0</v>
      </c>
      <c r="Q349">
        <v>0</v>
      </c>
      <c r="R349">
        <f t="shared" si="10"/>
        <v>3.6791758646063282E-5</v>
      </c>
      <c r="S349" t="s">
        <v>339</v>
      </c>
      <c r="T349">
        <v>47</v>
      </c>
      <c r="U349" t="str">
        <f t="shared" si="11"/>
        <v>Chloe Kelly:3</v>
      </c>
    </row>
    <row r="350" spans="1:21" x14ac:dyDescent="0.2">
      <c r="A350" t="s">
        <v>397</v>
      </c>
      <c r="B350" t="s">
        <v>606</v>
      </c>
      <c r="C350" t="s">
        <v>607</v>
      </c>
      <c r="D350" t="s">
        <v>94</v>
      </c>
      <c r="E350" t="s">
        <v>35</v>
      </c>
      <c r="F350">
        <v>22</v>
      </c>
      <c r="G350">
        <v>1998</v>
      </c>
      <c r="H350">
        <v>13</v>
      </c>
      <c r="I350">
        <v>8</v>
      </c>
      <c r="J350">
        <v>792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f t="shared" si="10"/>
        <v>0</v>
      </c>
      <c r="S350" t="s">
        <v>339</v>
      </c>
      <c r="T350">
        <v>25</v>
      </c>
      <c r="U350" t="str">
        <f t="shared" si="11"/>
        <v>Chloe Peplow:0</v>
      </c>
    </row>
    <row r="351" spans="1:21" x14ac:dyDescent="0.2">
      <c r="A351" t="s">
        <v>284</v>
      </c>
      <c r="B351" t="s">
        <v>640</v>
      </c>
      <c r="C351" t="s">
        <v>641</v>
      </c>
      <c r="D351" t="s">
        <v>23</v>
      </c>
      <c r="E351" t="s">
        <v>30</v>
      </c>
      <c r="F351">
        <v>33</v>
      </c>
      <c r="G351">
        <v>1988</v>
      </c>
      <c r="H351">
        <v>12</v>
      </c>
      <c r="I351">
        <v>7</v>
      </c>
      <c r="J351">
        <v>606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f t="shared" si="10"/>
        <v>0</v>
      </c>
      <c r="S351" t="s">
        <v>339</v>
      </c>
      <c r="T351">
        <v>32</v>
      </c>
      <c r="U351" t="str">
        <f t="shared" si="11"/>
        <v>Cho So-hyun:0</v>
      </c>
    </row>
    <row r="352" spans="1:21" x14ac:dyDescent="0.2">
      <c r="A352" t="s">
        <v>393</v>
      </c>
      <c r="B352" t="s">
        <v>652</v>
      </c>
      <c r="C352" t="s">
        <v>653</v>
      </c>
      <c r="D352" t="s">
        <v>34</v>
      </c>
      <c r="E352" t="s">
        <v>360</v>
      </c>
      <c r="F352">
        <v>31</v>
      </c>
      <c r="G352">
        <v>1990</v>
      </c>
      <c r="H352">
        <v>17</v>
      </c>
      <c r="I352">
        <v>17</v>
      </c>
      <c r="J352">
        <v>1517</v>
      </c>
      <c r="K352">
        <v>1</v>
      </c>
      <c r="L352">
        <v>0</v>
      </c>
      <c r="M352">
        <v>0</v>
      </c>
      <c r="N352">
        <v>1</v>
      </c>
      <c r="O352">
        <v>1</v>
      </c>
      <c r="P352">
        <v>0</v>
      </c>
      <c r="Q352">
        <v>0</v>
      </c>
      <c r="R352">
        <f t="shared" si="10"/>
        <v>7.3243975683000066E-6</v>
      </c>
      <c r="S352" t="s">
        <v>339</v>
      </c>
      <c r="T352">
        <v>11</v>
      </c>
      <c r="U352" t="str">
        <f t="shared" si="11"/>
        <v>Christie Murray:0</v>
      </c>
    </row>
    <row r="353" spans="1:21" x14ac:dyDescent="0.2">
      <c r="A353" t="s">
        <v>67</v>
      </c>
      <c r="B353" t="s">
        <v>628</v>
      </c>
      <c r="C353" t="s">
        <v>629</v>
      </c>
      <c r="D353" t="s">
        <v>50</v>
      </c>
      <c r="E353" t="s">
        <v>46</v>
      </c>
      <c r="F353">
        <v>26</v>
      </c>
      <c r="G353">
        <v>1995</v>
      </c>
      <c r="H353">
        <v>2</v>
      </c>
      <c r="I353">
        <v>0</v>
      </c>
      <c r="J353">
        <v>58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f t="shared" si="10"/>
        <v>0</v>
      </c>
      <c r="S353" t="s">
        <v>339</v>
      </c>
      <c r="T353">
        <v>13</v>
      </c>
      <c r="U353" t="str">
        <f t="shared" si="11"/>
        <v>CJ Bott:0</v>
      </c>
    </row>
    <row r="354" spans="1:21" x14ac:dyDescent="0.2">
      <c r="A354" t="s">
        <v>364</v>
      </c>
      <c r="B354" t="s">
        <v>652</v>
      </c>
      <c r="C354" t="s">
        <v>653</v>
      </c>
      <c r="D354" t="s">
        <v>42</v>
      </c>
      <c r="E354" t="s">
        <v>55</v>
      </c>
      <c r="F354">
        <v>27</v>
      </c>
      <c r="G354">
        <v>1994</v>
      </c>
      <c r="H354">
        <v>18</v>
      </c>
      <c r="I354">
        <v>12</v>
      </c>
      <c r="J354">
        <v>1025</v>
      </c>
      <c r="K354">
        <v>2</v>
      </c>
      <c r="L354">
        <v>1</v>
      </c>
      <c r="M354">
        <v>2</v>
      </c>
      <c r="N354">
        <v>0</v>
      </c>
      <c r="O354">
        <v>0</v>
      </c>
      <c r="P354">
        <v>0</v>
      </c>
      <c r="Q354">
        <v>0</v>
      </c>
      <c r="R354">
        <f t="shared" si="10"/>
        <v>2.1680216802168021E-5</v>
      </c>
      <c r="S354" t="s">
        <v>339</v>
      </c>
      <c r="T354">
        <v>20</v>
      </c>
      <c r="U354" t="str">
        <f t="shared" si="11"/>
        <v>Claire Emslie:1</v>
      </c>
    </row>
    <row r="355" spans="1:21" x14ac:dyDescent="0.2">
      <c r="A355" t="s">
        <v>318</v>
      </c>
      <c r="B355" t="s">
        <v>606</v>
      </c>
      <c r="C355" t="s">
        <v>607</v>
      </c>
      <c r="D355" t="s">
        <v>26</v>
      </c>
      <c r="E355" t="s">
        <v>24</v>
      </c>
      <c r="F355">
        <v>25</v>
      </c>
      <c r="G355">
        <v>1996</v>
      </c>
      <c r="H355">
        <v>20</v>
      </c>
      <c r="I355">
        <v>16</v>
      </c>
      <c r="J355">
        <v>1350</v>
      </c>
      <c r="K355">
        <v>3</v>
      </c>
      <c r="L355">
        <v>0</v>
      </c>
      <c r="M355">
        <v>3</v>
      </c>
      <c r="N355">
        <v>0</v>
      </c>
      <c r="O355">
        <v>0</v>
      </c>
      <c r="P355">
        <v>3</v>
      </c>
      <c r="Q355">
        <v>0</v>
      </c>
      <c r="R355">
        <f t="shared" si="10"/>
        <v>2.4691358024691357E-5</v>
      </c>
      <c r="S355" t="s">
        <v>339</v>
      </c>
      <c r="T355">
        <v>27</v>
      </c>
      <c r="U355" t="str">
        <f t="shared" si="11"/>
        <v>Claudia Walker:0</v>
      </c>
    </row>
    <row r="356" spans="1:21" x14ac:dyDescent="0.2">
      <c r="A356" t="s">
        <v>271</v>
      </c>
      <c r="B356" t="s">
        <v>606</v>
      </c>
      <c r="C356" t="s">
        <v>607</v>
      </c>
      <c r="D356" t="s">
        <v>26</v>
      </c>
      <c r="E356" t="s">
        <v>46</v>
      </c>
      <c r="F356">
        <v>22</v>
      </c>
      <c r="G356">
        <v>1999</v>
      </c>
      <c r="H356">
        <v>1</v>
      </c>
      <c r="I356">
        <v>0</v>
      </c>
      <c r="J356">
        <v>26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f t="shared" si="10"/>
        <v>0</v>
      </c>
      <c r="S356" t="s">
        <v>339</v>
      </c>
      <c r="T356">
        <v>13</v>
      </c>
      <c r="U356" t="str">
        <f t="shared" si="11"/>
        <v>Connie Scofield:0</v>
      </c>
    </row>
    <row r="357" spans="1:21" x14ac:dyDescent="0.2">
      <c r="A357" t="s">
        <v>71</v>
      </c>
      <c r="B357" t="s">
        <v>632</v>
      </c>
      <c r="C357" t="s">
        <v>633</v>
      </c>
      <c r="D357" t="s">
        <v>40</v>
      </c>
      <c r="E357" t="s">
        <v>55</v>
      </c>
      <c r="F357">
        <v>25</v>
      </c>
      <c r="G357">
        <v>1995</v>
      </c>
      <c r="H357">
        <v>4</v>
      </c>
      <c r="I357">
        <v>4</v>
      </c>
      <c r="J357">
        <v>360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f t="shared" si="10"/>
        <v>0</v>
      </c>
      <c r="S357" t="s">
        <v>339</v>
      </c>
      <c r="T357">
        <v>20</v>
      </c>
      <c r="U357" t="str">
        <f t="shared" si="11"/>
        <v>Courtney Brosnan:0</v>
      </c>
    </row>
    <row r="358" spans="1:21" x14ac:dyDescent="0.2">
      <c r="A358" t="s">
        <v>73</v>
      </c>
      <c r="B358" t="s">
        <v>642</v>
      </c>
      <c r="C358" t="s">
        <v>643</v>
      </c>
      <c r="D358" t="s">
        <v>23</v>
      </c>
      <c r="E358" t="s">
        <v>24</v>
      </c>
      <c r="F358">
        <v>29</v>
      </c>
      <c r="G358">
        <v>1991</v>
      </c>
      <c r="H358">
        <v>20</v>
      </c>
      <c r="I358">
        <v>19</v>
      </c>
      <c r="J358">
        <v>1677</v>
      </c>
      <c r="K358">
        <v>4</v>
      </c>
      <c r="L358">
        <v>1</v>
      </c>
      <c r="M358">
        <v>4</v>
      </c>
      <c r="N358">
        <v>0</v>
      </c>
      <c r="O358">
        <v>0</v>
      </c>
      <c r="P358">
        <v>1</v>
      </c>
      <c r="Q358">
        <v>0</v>
      </c>
      <c r="R358">
        <f t="shared" si="10"/>
        <v>2.6502352083747433E-5</v>
      </c>
      <c r="S358" t="s">
        <v>339</v>
      </c>
      <c r="T358">
        <v>27</v>
      </c>
      <c r="U358" t="str">
        <f t="shared" si="11"/>
        <v>Dagný Brynjarsdóttir:1</v>
      </c>
    </row>
    <row r="359" spans="1:21" x14ac:dyDescent="0.2">
      <c r="A359" t="s">
        <v>354</v>
      </c>
      <c r="B359" t="s">
        <v>606</v>
      </c>
      <c r="C359" t="s">
        <v>607</v>
      </c>
      <c r="D359" t="s">
        <v>50</v>
      </c>
      <c r="E359" t="s">
        <v>48</v>
      </c>
      <c r="F359">
        <v>32</v>
      </c>
      <c r="G359">
        <v>1988</v>
      </c>
      <c r="H359">
        <v>2</v>
      </c>
      <c r="I359">
        <v>0</v>
      </c>
      <c r="J359">
        <v>78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f t="shared" si="10"/>
        <v>0</v>
      </c>
      <c r="S359" t="s">
        <v>339</v>
      </c>
      <c r="T359">
        <v>26</v>
      </c>
      <c r="U359" t="str">
        <f t="shared" si="11"/>
        <v>Danielle Buet:0</v>
      </c>
    </row>
    <row r="360" spans="1:21" x14ac:dyDescent="0.2">
      <c r="A360" t="s">
        <v>82</v>
      </c>
      <c r="B360" t="s">
        <v>606</v>
      </c>
      <c r="C360" t="s">
        <v>607</v>
      </c>
      <c r="D360" t="s">
        <v>42</v>
      </c>
      <c r="E360" t="s">
        <v>48</v>
      </c>
      <c r="F360">
        <v>28</v>
      </c>
      <c r="G360">
        <v>1993</v>
      </c>
      <c r="H360">
        <v>21</v>
      </c>
      <c r="I360">
        <v>17</v>
      </c>
      <c r="J360">
        <v>1440</v>
      </c>
      <c r="K360">
        <v>2</v>
      </c>
      <c r="L360">
        <v>1</v>
      </c>
      <c r="M360">
        <v>2</v>
      </c>
      <c r="N360">
        <v>0</v>
      </c>
      <c r="O360">
        <v>0</v>
      </c>
      <c r="P360">
        <v>2</v>
      </c>
      <c r="Q360">
        <v>0</v>
      </c>
      <c r="R360">
        <f t="shared" si="10"/>
        <v>1.5432098765432099E-5</v>
      </c>
      <c r="S360" t="s">
        <v>339</v>
      </c>
      <c r="T360">
        <v>26</v>
      </c>
      <c r="U360" t="str">
        <f t="shared" si="11"/>
        <v>Danielle Carter:1</v>
      </c>
    </row>
    <row r="361" spans="1:21" x14ac:dyDescent="0.2">
      <c r="A361" t="s">
        <v>309</v>
      </c>
      <c r="B361" t="s">
        <v>606</v>
      </c>
      <c r="C361" t="s">
        <v>607</v>
      </c>
      <c r="D361" t="s">
        <v>50</v>
      </c>
      <c r="E361" t="s">
        <v>55</v>
      </c>
      <c r="F361">
        <v>30</v>
      </c>
      <c r="G361">
        <v>1991</v>
      </c>
      <c r="H361">
        <v>21</v>
      </c>
      <c r="I361">
        <v>19</v>
      </c>
      <c r="J361">
        <v>1725</v>
      </c>
      <c r="K361">
        <v>2</v>
      </c>
      <c r="L361">
        <v>0</v>
      </c>
      <c r="M361">
        <v>2</v>
      </c>
      <c r="N361">
        <v>0</v>
      </c>
      <c r="O361">
        <v>0</v>
      </c>
      <c r="P361">
        <v>3</v>
      </c>
      <c r="Q361">
        <v>0</v>
      </c>
      <c r="R361">
        <f t="shared" si="10"/>
        <v>1.2882447665056361E-5</v>
      </c>
      <c r="S361" t="s">
        <v>339</v>
      </c>
      <c r="T361">
        <v>20</v>
      </c>
      <c r="U361" t="str">
        <f t="shared" si="11"/>
        <v>Danielle Turner:0</v>
      </c>
    </row>
    <row r="362" spans="1:21" x14ac:dyDescent="0.2">
      <c r="A362" t="s">
        <v>389</v>
      </c>
      <c r="B362" t="s">
        <v>626</v>
      </c>
      <c r="C362" t="s">
        <v>627</v>
      </c>
      <c r="D362" t="s">
        <v>50</v>
      </c>
      <c r="E362" t="s">
        <v>48</v>
      </c>
      <c r="F362">
        <v>25</v>
      </c>
      <c r="G362">
        <v>1996</v>
      </c>
      <c r="H362">
        <v>20</v>
      </c>
      <c r="I362">
        <v>17</v>
      </c>
      <c r="J362">
        <v>1347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1</v>
      </c>
      <c r="Q362">
        <v>0</v>
      </c>
      <c r="R362">
        <f t="shared" si="10"/>
        <v>0</v>
      </c>
      <c r="S362" t="s">
        <v>339</v>
      </c>
      <c r="T362">
        <v>26</v>
      </c>
      <c r="U362" t="str">
        <f t="shared" si="11"/>
        <v>Danique Kerkdijk:0</v>
      </c>
    </row>
    <row r="363" spans="1:21" x14ac:dyDescent="0.2">
      <c r="A363" t="s">
        <v>97</v>
      </c>
      <c r="B363" t="s">
        <v>606</v>
      </c>
      <c r="C363" t="s">
        <v>607</v>
      </c>
      <c r="D363" t="s">
        <v>50</v>
      </c>
      <c r="E363" t="s">
        <v>35</v>
      </c>
      <c r="F363">
        <v>28</v>
      </c>
      <c r="G363">
        <v>1993</v>
      </c>
      <c r="H363">
        <v>17</v>
      </c>
      <c r="I363">
        <v>16</v>
      </c>
      <c r="J363">
        <v>1310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f t="shared" si="10"/>
        <v>0</v>
      </c>
      <c r="S363" t="s">
        <v>339</v>
      </c>
      <c r="T363">
        <v>25</v>
      </c>
      <c r="U363" t="str">
        <f t="shared" si="11"/>
        <v>Deanna Cooper:0</v>
      </c>
    </row>
    <row r="364" spans="1:21" x14ac:dyDescent="0.2">
      <c r="A364" t="s">
        <v>265</v>
      </c>
      <c r="B364" t="s">
        <v>608</v>
      </c>
      <c r="C364" t="s">
        <v>609</v>
      </c>
      <c r="D364" t="s">
        <v>42</v>
      </c>
      <c r="E364" t="s">
        <v>35</v>
      </c>
      <c r="F364">
        <v>22</v>
      </c>
      <c r="G364">
        <v>1999</v>
      </c>
      <c r="H364">
        <v>21</v>
      </c>
      <c r="I364">
        <v>19</v>
      </c>
      <c r="J364">
        <v>1675</v>
      </c>
      <c r="K364">
        <v>4</v>
      </c>
      <c r="L364">
        <v>3</v>
      </c>
      <c r="M364">
        <v>4</v>
      </c>
      <c r="N364">
        <v>0</v>
      </c>
      <c r="O364">
        <v>0</v>
      </c>
      <c r="P364">
        <v>1</v>
      </c>
      <c r="Q364">
        <v>0</v>
      </c>
      <c r="R364">
        <f t="shared" si="10"/>
        <v>2.6533996683250415E-5</v>
      </c>
      <c r="S364" t="s">
        <v>339</v>
      </c>
      <c r="T364">
        <v>25</v>
      </c>
      <c r="U364" t="str">
        <f t="shared" si="11"/>
        <v>Deanne Rose:3</v>
      </c>
    </row>
    <row r="365" spans="1:21" x14ac:dyDescent="0.2">
      <c r="A365" t="s">
        <v>189</v>
      </c>
      <c r="B365" t="s">
        <v>606</v>
      </c>
      <c r="C365" t="s">
        <v>607</v>
      </c>
      <c r="D365" t="s">
        <v>40</v>
      </c>
      <c r="E365" t="s">
        <v>46</v>
      </c>
      <c r="F365">
        <v>25</v>
      </c>
      <c r="G365">
        <v>1996</v>
      </c>
      <c r="H365">
        <v>14</v>
      </c>
      <c r="I365">
        <v>14</v>
      </c>
      <c r="J365">
        <v>1260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f t="shared" si="10"/>
        <v>0</v>
      </c>
      <c r="S365" t="s">
        <v>339</v>
      </c>
      <c r="T365">
        <v>13</v>
      </c>
      <c r="U365" t="str">
        <f t="shared" si="11"/>
        <v>Demi Lambourne:0</v>
      </c>
    </row>
    <row r="366" spans="1:21" x14ac:dyDescent="0.2">
      <c r="A366" t="s">
        <v>291</v>
      </c>
      <c r="B366" t="s">
        <v>606</v>
      </c>
      <c r="C366" t="s">
        <v>607</v>
      </c>
      <c r="D366" t="s">
        <v>50</v>
      </c>
      <c r="E366" t="s">
        <v>32</v>
      </c>
      <c r="F366">
        <v>29</v>
      </c>
      <c r="G366">
        <v>1991</v>
      </c>
      <c r="H366">
        <v>19</v>
      </c>
      <c r="I366">
        <v>18</v>
      </c>
      <c r="J366">
        <v>1536</v>
      </c>
      <c r="K366">
        <v>1</v>
      </c>
      <c r="L366">
        <v>2</v>
      </c>
      <c r="M366">
        <v>1</v>
      </c>
      <c r="N366">
        <v>0</v>
      </c>
      <c r="O366">
        <v>0</v>
      </c>
      <c r="P366">
        <v>1</v>
      </c>
      <c r="Q366">
        <v>0</v>
      </c>
      <c r="R366">
        <f t="shared" si="10"/>
        <v>7.2337962962962957E-6</v>
      </c>
      <c r="S366" t="s">
        <v>339</v>
      </c>
      <c r="T366">
        <v>47</v>
      </c>
      <c r="U366" t="str">
        <f t="shared" si="11"/>
        <v>Demi Stokes:2</v>
      </c>
    </row>
    <row r="367" spans="1:21" x14ac:dyDescent="0.2">
      <c r="A367" t="s">
        <v>79</v>
      </c>
      <c r="B367" t="s">
        <v>632</v>
      </c>
      <c r="C367" t="s">
        <v>633</v>
      </c>
      <c r="D367" t="s">
        <v>50</v>
      </c>
      <c r="E367" t="s">
        <v>52</v>
      </c>
      <c r="F367">
        <v>32</v>
      </c>
      <c r="G367">
        <v>1988</v>
      </c>
      <c r="H367">
        <v>5</v>
      </c>
      <c r="I367">
        <v>5</v>
      </c>
      <c r="J367">
        <v>450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3</v>
      </c>
      <c r="Q367">
        <v>0</v>
      </c>
      <c r="R367">
        <f t="shared" si="10"/>
        <v>0</v>
      </c>
      <c r="S367" t="s">
        <v>339</v>
      </c>
      <c r="T367">
        <v>42</v>
      </c>
      <c r="U367" t="str">
        <f t="shared" si="11"/>
        <v>Diane Caldwell:0</v>
      </c>
    </row>
    <row r="368" spans="1:21" x14ac:dyDescent="0.2">
      <c r="A368" t="s">
        <v>285</v>
      </c>
      <c r="B368" t="s">
        <v>650</v>
      </c>
      <c r="C368" t="s">
        <v>651</v>
      </c>
      <c r="D368" t="s">
        <v>34</v>
      </c>
      <c r="E368" t="s">
        <v>20</v>
      </c>
      <c r="F368">
        <v>28</v>
      </c>
      <c r="G368">
        <v>1992</v>
      </c>
      <c r="H368">
        <v>16</v>
      </c>
      <c r="I368">
        <v>5</v>
      </c>
      <c r="J368">
        <v>435</v>
      </c>
      <c r="K368">
        <v>1</v>
      </c>
      <c r="L368">
        <v>1</v>
      </c>
      <c r="M368">
        <v>1</v>
      </c>
      <c r="N368">
        <v>0</v>
      </c>
      <c r="O368">
        <v>0</v>
      </c>
      <c r="P368">
        <v>0</v>
      </c>
      <c r="Q368">
        <v>0</v>
      </c>
      <c r="R368">
        <f t="shared" si="10"/>
        <v>2.554278416347382E-5</v>
      </c>
      <c r="S368" t="s">
        <v>339</v>
      </c>
      <c r="T368">
        <v>56</v>
      </c>
      <c r="U368" t="str">
        <f t="shared" si="11"/>
        <v>Drew Spence:1</v>
      </c>
    </row>
    <row r="369" spans="1:21" x14ac:dyDescent="0.2">
      <c r="A369" t="s">
        <v>403</v>
      </c>
      <c r="B369" t="s">
        <v>632</v>
      </c>
      <c r="C369" t="s">
        <v>633</v>
      </c>
      <c r="D369" t="s">
        <v>26</v>
      </c>
      <c r="E369" t="s">
        <v>360</v>
      </c>
      <c r="F369">
        <v>23</v>
      </c>
      <c r="G369">
        <v>1998</v>
      </c>
      <c r="H369">
        <v>12</v>
      </c>
      <c r="I369">
        <v>3</v>
      </c>
      <c r="J369">
        <v>335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f t="shared" si="10"/>
        <v>0</v>
      </c>
      <c r="S369" t="s">
        <v>339</v>
      </c>
      <c r="T369">
        <v>11</v>
      </c>
      <c r="U369" t="str">
        <f t="shared" si="11"/>
        <v>Eleanor Ryan-Doyle:0</v>
      </c>
    </row>
    <row r="370" spans="1:21" x14ac:dyDescent="0.2">
      <c r="A370" t="s">
        <v>394</v>
      </c>
      <c r="B370" t="s">
        <v>606</v>
      </c>
      <c r="C370" t="s">
        <v>607</v>
      </c>
      <c r="D370" t="s">
        <v>50</v>
      </c>
      <c r="E370" t="s">
        <v>37</v>
      </c>
      <c r="F370">
        <v>24</v>
      </c>
      <c r="G370">
        <v>1996</v>
      </c>
      <c r="H370">
        <v>7</v>
      </c>
      <c r="I370">
        <v>5</v>
      </c>
      <c r="J370">
        <v>495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f t="shared" si="10"/>
        <v>0</v>
      </c>
      <c r="S370" t="s">
        <v>339</v>
      </c>
      <c r="T370">
        <v>21</v>
      </c>
      <c r="U370" t="str">
        <f t="shared" si="11"/>
        <v>Elisha N'Dow:0</v>
      </c>
    </row>
    <row r="371" spans="1:21" x14ac:dyDescent="0.2">
      <c r="A371" t="s">
        <v>305</v>
      </c>
      <c r="B371" t="s">
        <v>606</v>
      </c>
      <c r="C371" t="s">
        <v>607</v>
      </c>
      <c r="D371" t="s">
        <v>23</v>
      </c>
      <c r="E371" t="s">
        <v>52</v>
      </c>
      <c r="F371">
        <v>21</v>
      </c>
      <c r="G371">
        <v>1999</v>
      </c>
      <c r="H371">
        <v>22</v>
      </c>
      <c r="I371">
        <v>22</v>
      </c>
      <c r="J371">
        <v>1897</v>
      </c>
      <c r="K371">
        <v>7</v>
      </c>
      <c r="L371">
        <v>8</v>
      </c>
      <c r="M371">
        <v>7</v>
      </c>
      <c r="N371">
        <v>0</v>
      </c>
      <c r="O371">
        <v>0</v>
      </c>
      <c r="P371">
        <v>3</v>
      </c>
      <c r="Q371">
        <v>0</v>
      </c>
      <c r="R371">
        <f t="shared" si="10"/>
        <v>4.1000410004100041E-5</v>
      </c>
      <c r="S371" t="s">
        <v>339</v>
      </c>
      <c r="T371">
        <v>42</v>
      </c>
      <c r="U371" t="str">
        <f t="shared" si="11"/>
        <v>Ella Toone:8</v>
      </c>
    </row>
    <row r="372" spans="1:21" x14ac:dyDescent="0.2">
      <c r="A372" t="s">
        <v>420</v>
      </c>
      <c r="B372" t="s">
        <v>606</v>
      </c>
      <c r="C372" t="s">
        <v>607</v>
      </c>
      <c r="D372" t="s">
        <v>26</v>
      </c>
      <c r="E372" t="s">
        <v>32</v>
      </c>
      <c r="F372">
        <v>32</v>
      </c>
      <c r="G372">
        <v>1989</v>
      </c>
      <c r="H372">
        <v>22</v>
      </c>
      <c r="I372">
        <v>13</v>
      </c>
      <c r="J372">
        <v>1220</v>
      </c>
      <c r="K372">
        <v>4</v>
      </c>
      <c r="L372">
        <v>4</v>
      </c>
      <c r="M372">
        <v>4</v>
      </c>
      <c r="N372">
        <v>0</v>
      </c>
      <c r="O372">
        <v>0</v>
      </c>
      <c r="P372">
        <v>1</v>
      </c>
      <c r="Q372">
        <v>0</v>
      </c>
      <c r="R372">
        <f t="shared" si="10"/>
        <v>3.6429872495446266E-5</v>
      </c>
      <c r="S372" t="s">
        <v>339</v>
      </c>
      <c r="T372">
        <v>47</v>
      </c>
      <c r="U372" t="str">
        <f t="shared" si="11"/>
        <v>Ellen White:4</v>
      </c>
    </row>
    <row r="373" spans="1:21" x14ac:dyDescent="0.2">
      <c r="A373" t="s">
        <v>69</v>
      </c>
      <c r="B373" t="s">
        <v>606</v>
      </c>
      <c r="C373" t="s">
        <v>607</v>
      </c>
      <c r="D373" t="s">
        <v>42</v>
      </c>
      <c r="E373" t="s">
        <v>48</v>
      </c>
      <c r="F373">
        <v>22</v>
      </c>
      <c r="G373">
        <v>1999</v>
      </c>
      <c r="H373">
        <v>19</v>
      </c>
      <c r="I373">
        <v>12</v>
      </c>
      <c r="J373">
        <v>979</v>
      </c>
      <c r="K373">
        <v>0</v>
      </c>
      <c r="L373">
        <v>1</v>
      </c>
      <c r="M373">
        <v>0</v>
      </c>
      <c r="N373">
        <v>0</v>
      </c>
      <c r="O373">
        <v>0</v>
      </c>
      <c r="P373">
        <v>1</v>
      </c>
      <c r="Q373">
        <v>0</v>
      </c>
      <c r="R373">
        <f t="shared" si="10"/>
        <v>0</v>
      </c>
      <c r="S373" t="s">
        <v>339</v>
      </c>
      <c r="T373">
        <v>26</v>
      </c>
      <c r="U373" t="str">
        <f t="shared" si="11"/>
        <v>Ellie Brazil:1</v>
      </c>
    </row>
    <row r="374" spans="1:21" x14ac:dyDescent="0.2">
      <c r="A374" t="s">
        <v>264</v>
      </c>
      <c r="B374" t="s">
        <v>606</v>
      </c>
      <c r="C374" t="s">
        <v>607</v>
      </c>
      <c r="D374" t="s">
        <v>40</v>
      </c>
      <c r="E374" t="s">
        <v>32</v>
      </c>
      <c r="F374">
        <v>21</v>
      </c>
      <c r="G374">
        <v>1999</v>
      </c>
      <c r="H374">
        <v>10</v>
      </c>
      <c r="I374">
        <v>10</v>
      </c>
      <c r="J374">
        <v>896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1</v>
      </c>
      <c r="Q374">
        <v>0</v>
      </c>
      <c r="R374">
        <f t="shared" si="10"/>
        <v>0</v>
      </c>
      <c r="S374" t="s">
        <v>339</v>
      </c>
      <c r="T374">
        <v>47</v>
      </c>
      <c r="U374" t="str">
        <f t="shared" si="11"/>
        <v>Ellie Roebuck:0</v>
      </c>
    </row>
    <row r="375" spans="1:21" x14ac:dyDescent="0.2">
      <c r="A375" t="s">
        <v>350</v>
      </c>
      <c r="B375" t="s">
        <v>606</v>
      </c>
      <c r="C375" t="s">
        <v>607</v>
      </c>
      <c r="D375" t="s">
        <v>34</v>
      </c>
      <c r="E375" t="s">
        <v>46</v>
      </c>
      <c r="F375">
        <v>17</v>
      </c>
      <c r="G375">
        <v>2004</v>
      </c>
      <c r="H375">
        <v>2</v>
      </c>
      <c r="I375">
        <v>0</v>
      </c>
      <c r="J375">
        <v>16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f t="shared" si="10"/>
        <v>0</v>
      </c>
      <c r="S375" t="s">
        <v>339</v>
      </c>
      <c r="T375">
        <v>13</v>
      </c>
      <c r="U375" t="str">
        <f t="shared" si="11"/>
        <v>Elysia Boddy:0</v>
      </c>
    </row>
    <row r="376" spans="1:21" x14ac:dyDescent="0.2">
      <c r="A376" t="s">
        <v>133</v>
      </c>
      <c r="B376" t="s">
        <v>612</v>
      </c>
      <c r="C376" t="s">
        <v>613</v>
      </c>
      <c r="D376" t="s">
        <v>26</v>
      </c>
      <c r="E376" t="s">
        <v>37</v>
      </c>
      <c r="F376">
        <v>29</v>
      </c>
      <c r="G376">
        <v>1992</v>
      </c>
      <c r="H376">
        <v>15</v>
      </c>
      <c r="I376">
        <v>13</v>
      </c>
      <c r="J376">
        <v>1076</v>
      </c>
      <c r="K376">
        <v>2</v>
      </c>
      <c r="L376">
        <v>0</v>
      </c>
      <c r="M376">
        <v>2</v>
      </c>
      <c r="N376">
        <v>0</v>
      </c>
      <c r="O376">
        <v>0</v>
      </c>
      <c r="P376">
        <v>0</v>
      </c>
      <c r="Q376">
        <v>0</v>
      </c>
      <c r="R376">
        <f t="shared" si="10"/>
        <v>2.0652622883106152E-5</v>
      </c>
      <c r="S376" t="s">
        <v>339</v>
      </c>
      <c r="T376">
        <v>21</v>
      </c>
      <c r="U376" t="str">
        <f t="shared" si="11"/>
        <v>Emily Gielnik:0</v>
      </c>
    </row>
    <row r="377" spans="1:21" x14ac:dyDescent="0.2">
      <c r="A377" t="s">
        <v>255</v>
      </c>
      <c r="B377" t="s">
        <v>606</v>
      </c>
      <c r="C377" t="s">
        <v>607</v>
      </c>
      <c r="D377" t="s">
        <v>40</v>
      </c>
      <c r="E377" t="s">
        <v>360</v>
      </c>
      <c r="F377">
        <v>20</v>
      </c>
      <c r="G377">
        <v>2000</v>
      </c>
      <c r="H377">
        <v>15</v>
      </c>
      <c r="I377">
        <v>15</v>
      </c>
      <c r="J377">
        <v>1285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1</v>
      </c>
      <c r="Q377">
        <v>1</v>
      </c>
      <c r="R377">
        <f t="shared" si="10"/>
        <v>0</v>
      </c>
      <c r="S377" t="s">
        <v>339</v>
      </c>
      <c r="T377">
        <v>11</v>
      </c>
      <c r="U377" t="str">
        <f t="shared" si="11"/>
        <v>Emily Ramsey:0</v>
      </c>
    </row>
    <row r="378" spans="1:21" x14ac:dyDescent="0.2">
      <c r="A378" t="s">
        <v>409</v>
      </c>
      <c r="B378" t="s">
        <v>606</v>
      </c>
      <c r="C378" t="s">
        <v>607</v>
      </c>
      <c r="D378" t="s">
        <v>34</v>
      </c>
      <c r="E378" t="s">
        <v>48</v>
      </c>
      <c r="F378">
        <v>31</v>
      </c>
      <c r="G378">
        <v>1990</v>
      </c>
      <c r="H378">
        <v>12</v>
      </c>
      <c r="I378">
        <v>6</v>
      </c>
      <c r="J378">
        <v>484</v>
      </c>
      <c r="K378">
        <v>0</v>
      </c>
      <c r="L378">
        <v>1</v>
      </c>
      <c r="M378">
        <v>0</v>
      </c>
      <c r="N378">
        <v>0</v>
      </c>
      <c r="O378">
        <v>0</v>
      </c>
      <c r="P378">
        <v>2</v>
      </c>
      <c r="Q378">
        <v>0</v>
      </c>
      <c r="R378">
        <f t="shared" si="10"/>
        <v>0</v>
      </c>
      <c r="S378" t="s">
        <v>339</v>
      </c>
      <c r="T378">
        <v>26</v>
      </c>
      <c r="U378" t="str">
        <f t="shared" si="11"/>
        <v>Emily Simpkins:1</v>
      </c>
    </row>
    <row r="379" spans="1:21" x14ac:dyDescent="0.2">
      <c r="A379" t="s">
        <v>418</v>
      </c>
      <c r="B379" t="s">
        <v>632</v>
      </c>
      <c r="C379" t="s">
        <v>633</v>
      </c>
      <c r="D379" t="s">
        <v>42</v>
      </c>
      <c r="E379" t="s">
        <v>360</v>
      </c>
      <c r="F379">
        <v>18</v>
      </c>
      <c r="G379">
        <v>2002</v>
      </c>
      <c r="H379">
        <v>19</v>
      </c>
      <c r="I379">
        <v>3</v>
      </c>
      <c r="J379">
        <v>496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f t="shared" si="10"/>
        <v>0</v>
      </c>
      <c r="S379" t="s">
        <v>339</v>
      </c>
      <c r="T379">
        <v>11</v>
      </c>
      <c r="U379" t="str">
        <f t="shared" si="11"/>
        <v>Emily Whelan:0</v>
      </c>
    </row>
    <row r="380" spans="1:21" x14ac:dyDescent="0.2">
      <c r="A380" t="s">
        <v>150</v>
      </c>
      <c r="B380" t="s">
        <v>606</v>
      </c>
      <c r="C380" t="s">
        <v>607</v>
      </c>
      <c r="D380" t="s">
        <v>23</v>
      </c>
      <c r="E380" t="s">
        <v>35</v>
      </c>
      <c r="F380">
        <v>19</v>
      </c>
      <c r="G380">
        <v>2002</v>
      </c>
      <c r="H380">
        <v>19</v>
      </c>
      <c r="I380">
        <v>12</v>
      </c>
      <c r="J380">
        <v>1124</v>
      </c>
      <c r="K380">
        <v>3</v>
      </c>
      <c r="L380">
        <v>1</v>
      </c>
      <c r="M380">
        <v>3</v>
      </c>
      <c r="N380">
        <v>0</v>
      </c>
      <c r="O380">
        <v>0</v>
      </c>
      <c r="P380">
        <v>0</v>
      </c>
      <c r="Q380">
        <v>0</v>
      </c>
      <c r="R380">
        <f t="shared" si="10"/>
        <v>2.9655990510083039E-5</v>
      </c>
      <c r="S380" t="s">
        <v>339</v>
      </c>
      <c r="T380">
        <v>25</v>
      </c>
      <c r="U380" t="str">
        <f t="shared" si="11"/>
        <v>Emma Harries:1</v>
      </c>
    </row>
    <row r="381" spans="1:21" x14ac:dyDescent="0.2">
      <c r="A381" t="s">
        <v>183</v>
      </c>
      <c r="B381" t="s">
        <v>656</v>
      </c>
      <c r="C381" t="s">
        <v>657</v>
      </c>
      <c r="D381" t="s">
        <v>29</v>
      </c>
      <c r="E381" t="s">
        <v>48</v>
      </c>
      <c r="F381">
        <v>26</v>
      </c>
      <c r="G381">
        <v>1994</v>
      </c>
      <c r="H381">
        <v>22</v>
      </c>
      <c r="I381">
        <v>21</v>
      </c>
      <c r="J381">
        <v>1909</v>
      </c>
      <c r="K381">
        <v>3</v>
      </c>
      <c r="L381">
        <v>0</v>
      </c>
      <c r="M381">
        <v>3</v>
      </c>
      <c r="N381">
        <v>0</v>
      </c>
      <c r="O381">
        <v>0</v>
      </c>
      <c r="P381">
        <v>1</v>
      </c>
      <c r="Q381">
        <v>0</v>
      </c>
      <c r="R381">
        <f t="shared" si="10"/>
        <v>1.7461148943600489E-5</v>
      </c>
      <c r="S381" t="s">
        <v>339</v>
      </c>
      <c r="T381">
        <v>26</v>
      </c>
      <c r="U381" t="str">
        <f t="shared" si="11"/>
        <v>Emma Koivisto:0</v>
      </c>
    </row>
    <row r="382" spans="1:21" x14ac:dyDescent="0.2">
      <c r="A382" t="s">
        <v>186</v>
      </c>
      <c r="B382" t="s">
        <v>658</v>
      </c>
      <c r="C382" t="s">
        <v>659</v>
      </c>
      <c r="D382" t="s">
        <v>50</v>
      </c>
      <c r="E382" t="s">
        <v>48</v>
      </c>
      <c r="F382">
        <v>29</v>
      </c>
      <c r="G382">
        <v>1991</v>
      </c>
      <c r="H382">
        <v>13</v>
      </c>
      <c r="I382">
        <v>11</v>
      </c>
      <c r="J382">
        <v>984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1</v>
      </c>
      <c r="Q382">
        <v>0</v>
      </c>
      <c r="R382">
        <f t="shared" si="10"/>
        <v>0</v>
      </c>
      <c r="S382" t="s">
        <v>339</v>
      </c>
      <c r="T382">
        <v>26</v>
      </c>
      <c r="U382" t="str">
        <f t="shared" si="11"/>
        <v>Emma Kullberg:0</v>
      </c>
    </row>
    <row r="383" spans="1:21" x14ac:dyDescent="0.2">
      <c r="A383" t="s">
        <v>282</v>
      </c>
      <c r="B383" t="s">
        <v>620</v>
      </c>
      <c r="C383" t="s">
        <v>621</v>
      </c>
      <c r="D383" t="s">
        <v>23</v>
      </c>
      <c r="E383" t="s">
        <v>24</v>
      </c>
      <c r="F383">
        <v>20</v>
      </c>
      <c r="G383">
        <v>2001</v>
      </c>
      <c r="H383">
        <v>8</v>
      </c>
      <c r="I383">
        <v>5</v>
      </c>
      <c r="J383">
        <v>460</v>
      </c>
      <c r="K383">
        <v>1</v>
      </c>
      <c r="L383">
        <v>1</v>
      </c>
      <c r="M383">
        <v>1</v>
      </c>
      <c r="N383">
        <v>0</v>
      </c>
      <c r="O383">
        <v>0</v>
      </c>
      <c r="P383">
        <v>1</v>
      </c>
      <c r="Q383">
        <v>0</v>
      </c>
      <c r="R383">
        <f t="shared" si="10"/>
        <v>2.4154589371980676E-5</v>
      </c>
      <c r="S383" t="s">
        <v>339</v>
      </c>
      <c r="T383">
        <v>27</v>
      </c>
      <c r="U383" t="str">
        <f t="shared" si="11"/>
        <v>Emma Snerle:1</v>
      </c>
    </row>
    <row r="384" spans="1:21" x14ac:dyDescent="0.2">
      <c r="A384" t="s">
        <v>100</v>
      </c>
      <c r="B384" t="s">
        <v>652</v>
      </c>
      <c r="C384" t="s">
        <v>653</v>
      </c>
      <c r="D384" t="s">
        <v>23</v>
      </c>
      <c r="E384" t="s">
        <v>20</v>
      </c>
      <c r="F384">
        <v>23</v>
      </c>
      <c r="G384">
        <v>1998</v>
      </c>
      <c r="H384">
        <v>20</v>
      </c>
      <c r="I384">
        <v>17</v>
      </c>
      <c r="J384">
        <v>1513</v>
      </c>
      <c r="K384">
        <v>4</v>
      </c>
      <c r="L384">
        <v>4</v>
      </c>
      <c r="M384">
        <v>4</v>
      </c>
      <c r="N384">
        <v>0</v>
      </c>
      <c r="O384">
        <v>0</v>
      </c>
      <c r="P384">
        <v>0</v>
      </c>
      <c r="Q384">
        <v>0</v>
      </c>
      <c r="R384">
        <f t="shared" si="10"/>
        <v>2.9375045898509215E-5</v>
      </c>
      <c r="S384" t="s">
        <v>339</v>
      </c>
      <c r="T384">
        <v>56</v>
      </c>
      <c r="U384" t="str">
        <f t="shared" si="11"/>
        <v>Erin Cuthbert:4</v>
      </c>
    </row>
    <row r="385" spans="1:21" x14ac:dyDescent="0.2">
      <c r="A385" t="s">
        <v>222</v>
      </c>
      <c r="B385" t="s">
        <v>606</v>
      </c>
      <c r="C385" t="s">
        <v>607</v>
      </c>
      <c r="D385" t="s">
        <v>50</v>
      </c>
      <c r="E385" t="s">
        <v>32</v>
      </c>
      <c r="F385">
        <v>20</v>
      </c>
      <c r="G385">
        <v>2000</v>
      </c>
      <c r="H385">
        <v>2</v>
      </c>
      <c r="I385">
        <v>2</v>
      </c>
      <c r="J385">
        <v>104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1</v>
      </c>
      <c r="Q385">
        <v>0</v>
      </c>
      <c r="R385">
        <f t="shared" si="10"/>
        <v>0</v>
      </c>
      <c r="S385" t="s">
        <v>339</v>
      </c>
      <c r="T385">
        <v>47</v>
      </c>
      <c r="U385" t="str">
        <f t="shared" si="11"/>
        <v>Esme Morgan:0</v>
      </c>
    </row>
    <row r="386" spans="1:21" x14ac:dyDescent="0.2">
      <c r="A386" t="s">
        <v>373</v>
      </c>
      <c r="B386" t="s">
        <v>626</v>
      </c>
      <c r="C386" t="s">
        <v>627</v>
      </c>
      <c r="D386" t="s">
        <v>29</v>
      </c>
      <c r="E386" t="s">
        <v>46</v>
      </c>
      <c r="F386">
        <v>23</v>
      </c>
      <c r="G386">
        <v>1997</v>
      </c>
      <c r="H386">
        <v>21</v>
      </c>
      <c r="I386">
        <v>18</v>
      </c>
      <c r="J386">
        <v>1615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1</v>
      </c>
      <c r="Q386">
        <v>0</v>
      </c>
      <c r="R386">
        <f t="shared" si="10"/>
        <v>0</v>
      </c>
      <c r="S386" t="s">
        <v>339</v>
      </c>
      <c r="T386">
        <v>13</v>
      </c>
      <c r="U386" t="str">
        <f t="shared" si="11"/>
        <v>Esmee de Graaf:0</v>
      </c>
    </row>
    <row r="387" spans="1:21" x14ac:dyDescent="0.2">
      <c r="A387" t="s">
        <v>392</v>
      </c>
      <c r="B387" t="s">
        <v>624</v>
      </c>
      <c r="C387" t="s">
        <v>625</v>
      </c>
      <c r="D387" t="s">
        <v>34</v>
      </c>
      <c r="E387" t="s">
        <v>46</v>
      </c>
      <c r="F387">
        <v>18</v>
      </c>
      <c r="G387">
        <v>2002</v>
      </c>
      <c r="H387">
        <v>2</v>
      </c>
      <c r="I387">
        <v>0</v>
      </c>
      <c r="J387">
        <v>25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f t="shared" ref="R387:R450" si="12">K387/J387/90</f>
        <v>0</v>
      </c>
      <c r="S387" t="s">
        <v>339</v>
      </c>
      <c r="T387">
        <v>13</v>
      </c>
      <c r="U387" t="str">
        <f t="shared" ref="U387:U450" si="13">CONCATENATE(A387, ":", L387)</f>
        <v>Esther Morgan:0</v>
      </c>
    </row>
    <row r="388" spans="1:21" x14ac:dyDescent="0.2">
      <c r="A388" t="s">
        <v>294</v>
      </c>
      <c r="B388" t="s">
        <v>656</v>
      </c>
      <c r="C388" t="s">
        <v>657</v>
      </c>
      <c r="D388" t="s">
        <v>23</v>
      </c>
      <c r="E388" t="s">
        <v>30</v>
      </c>
      <c r="F388">
        <v>23</v>
      </c>
      <c r="G388">
        <v>1998</v>
      </c>
      <c r="H388">
        <v>10</v>
      </c>
      <c r="I388">
        <v>7</v>
      </c>
      <c r="J388">
        <v>704</v>
      </c>
      <c r="K388">
        <v>0</v>
      </c>
      <c r="L388">
        <v>1</v>
      </c>
      <c r="M388">
        <v>0</v>
      </c>
      <c r="N388">
        <v>0</v>
      </c>
      <c r="O388">
        <v>0</v>
      </c>
      <c r="P388">
        <v>3</v>
      </c>
      <c r="Q388">
        <v>0</v>
      </c>
      <c r="R388">
        <f t="shared" si="12"/>
        <v>0</v>
      </c>
      <c r="S388" t="s">
        <v>339</v>
      </c>
      <c r="T388">
        <v>32</v>
      </c>
      <c r="U388" t="str">
        <f t="shared" si="13"/>
        <v>Eveliina Summanen:1</v>
      </c>
    </row>
    <row r="389" spans="1:21" x14ac:dyDescent="0.2">
      <c r="A389" t="s">
        <v>74</v>
      </c>
      <c r="B389" t="s">
        <v>606</v>
      </c>
      <c r="C389" t="s">
        <v>607</v>
      </c>
      <c r="D389" t="s">
        <v>29</v>
      </c>
      <c r="E389" t="s">
        <v>35</v>
      </c>
      <c r="F389">
        <v>24</v>
      </c>
      <c r="G389">
        <v>1997</v>
      </c>
      <c r="H389">
        <v>20</v>
      </c>
      <c r="I389">
        <v>20</v>
      </c>
      <c r="J389">
        <v>1799</v>
      </c>
      <c r="K389">
        <v>1</v>
      </c>
      <c r="L389">
        <v>0</v>
      </c>
      <c r="M389">
        <v>1</v>
      </c>
      <c r="N389">
        <v>0</v>
      </c>
      <c r="O389">
        <v>0</v>
      </c>
      <c r="P389">
        <v>2</v>
      </c>
      <c r="Q389">
        <v>0</v>
      </c>
      <c r="R389">
        <f t="shared" si="12"/>
        <v>6.1762707677104565E-6</v>
      </c>
      <c r="S389" t="s">
        <v>339</v>
      </c>
      <c r="T389">
        <v>25</v>
      </c>
      <c r="U389" t="str">
        <f t="shared" si="13"/>
        <v>Faye Bryson:0</v>
      </c>
    </row>
    <row r="390" spans="1:21" x14ac:dyDescent="0.2">
      <c r="A390" t="s">
        <v>372</v>
      </c>
      <c r="B390" t="s">
        <v>606</v>
      </c>
      <c r="C390" t="s">
        <v>607</v>
      </c>
      <c r="D390" t="s">
        <v>50</v>
      </c>
      <c r="E390" t="s">
        <v>48</v>
      </c>
      <c r="F390">
        <v>27</v>
      </c>
      <c r="G390">
        <v>1994</v>
      </c>
      <c r="H390">
        <v>15</v>
      </c>
      <c r="I390">
        <v>10</v>
      </c>
      <c r="J390">
        <v>856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f t="shared" si="12"/>
        <v>0</v>
      </c>
      <c r="S390" t="s">
        <v>339</v>
      </c>
      <c r="T390">
        <v>26</v>
      </c>
      <c r="U390" t="str">
        <f t="shared" si="13"/>
        <v>Felicity Gibbons:0</v>
      </c>
    </row>
    <row r="391" spans="1:21" x14ac:dyDescent="0.2">
      <c r="A391" t="s">
        <v>38</v>
      </c>
      <c r="B391" t="s">
        <v>658</v>
      </c>
      <c r="C391" t="s">
        <v>659</v>
      </c>
      <c r="D391" t="s">
        <v>34</v>
      </c>
      <c r="E391" t="s">
        <v>32</v>
      </c>
      <c r="F391">
        <v>24</v>
      </c>
      <c r="G391">
        <v>1997</v>
      </c>
      <c r="H391">
        <v>15</v>
      </c>
      <c r="I391">
        <v>6</v>
      </c>
      <c r="J391">
        <v>652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f t="shared" si="12"/>
        <v>0</v>
      </c>
      <c r="S391" t="s">
        <v>339</v>
      </c>
      <c r="T391">
        <v>47</v>
      </c>
      <c r="U391" t="str">
        <f t="shared" si="13"/>
        <v>Filippa Angeldahl:0</v>
      </c>
    </row>
    <row r="392" spans="1:21" x14ac:dyDescent="0.2">
      <c r="A392" t="s">
        <v>182</v>
      </c>
      <c r="B392" t="s">
        <v>606</v>
      </c>
      <c r="C392" t="s">
        <v>607</v>
      </c>
      <c r="D392" t="s">
        <v>26</v>
      </c>
      <c r="E392" t="s">
        <v>20</v>
      </c>
      <c r="F392">
        <v>28</v>
      </c>
      <c r="G392">
        <v>1993</v>
      </c>
      <c r="H392">
        <v>13</v>
      </c>
      <c r="I392">
        <v>9</v>
      </c>
      <c r="J392">
        <v>858</v>
      </c>
      <c r="K392">
        <v>6</v>
      </c>
      <c r="L392">
        <v>6</v>
      </c>
      <c r="M392">
        <v>6</v>
      </c>
      <c r="N392">
        <v>0</v>
      </c>
      <c r="O392">
        <v>0</v>
      </c>
      <c r="P392">
        <v>0</v>
      </c>
      <c r="Q392">
        <v>0</v>
      </c>
      <c r="R392">
        <f t="shared" si="12"/>
        <v>7.77000777000777E-5</v>
      </c>
      <c r="S392" t="s">
        <v>339</v>
      </c>
      <c r="T392">
        <v>56</v>
      </c>
      <c r="U392" t="str">
        <f t="shared" si="13"/>
        <v>Fran Kirby:6</v>
      </c>
    </row>
    <row r="393" spans="1:21" x14ac:dyDescent="0.2">
      <c r="A393" t="s">
        <v>144</v>
      </c>
      <c r="B393" t="s">
        <v>606</v>
      </c>
      <c r="C393" t="s">
        <v>607</v>
      </c>
      <c r="D393" t="s">
        <v>23</v>
      </c>
      <c r="E393" t="s">
        <v>46</v>
      </c>
      <c r="F393">
        <v>18</v>
      </c>
      <c r="G393">
        <v>2003</v>
      </c>
      <c r="H393">
        <v>11</v>
      </c>
      <c r="I393">
        <v>10</v>
      </c>
      <c r="J393">
        <v>843</v>
      </c>
      <c r="K393">
        <v>1</v>
      </c>
      <c r="L393">
        <v>0</v>
      </c>
      <c r="M393">
        <v>1</v>
      </c>
      <c r="N393">
        <v>0</v>
      </c>
      <c r="O393">
        <v>0</v>
      </c>
      <c r="P393">
        <v>0</v>
      </c>
      <c r="Q393">
        <v>0</v>
      </c>
      <c r="R393">
        <f t="shared" si="12"/>
        <v>1.3180440226703574E-5</v>
      </c>
      <c r="S393" t="s">
        <v>339</v>
      </c>
      <c r="T393">
        <v>13</v>
      </c>
      <c r="U393" t="str">
        <f t="shared" si="13"/>
        <v>Freya Gregory:0</v>
      </c>
    </row>
    <row r="394" spans="1:21" x14ac:dyDescent="0.2">
      <c r="A394" t="s">
        <v>144</v>
      </c>
      <c r="B394" t="s">
        <v>606</v>
      </c>
      <c r="C394" t="s">
        <v>607</v>
      </c>
      <c r="D394" t="s">
        <v>26</v>
      </c>
      <c r="E394" t="s">
        <v>37</v>
      </c>
      <c r="F394">
        <v>18</v>
      </c>
      <c r="G394">
        <v>2003</v>
      </c>
      <c r="H394">
        <v>3</v>
      </c>
      <c r="I394">
        <v>1</v>
      </c>
      <c r="J394">
        <v>108</v>
      </c>
      <c r="K394">
        <v>0</v>
      </c>
      <c r="L394">
        <v>1</v>
      </c>
      <c r="M394">
        <v>0</v>
      </c>
      <c r="N394">
        <v>0</v>
      </c>
      <c r="O394">
        <v>0</v>
      </c>
      <c r="P394">
        <v>0</v>
      </c>
      <c r="Q394">
        <v>0</v>
      </c>
      <c r="R394">
        <f t="shared" si="12"/>
        <v>0</v>
      </c>
      <c r="S394" t="s">
        <v>339</v>
      </c>
      <c r="T394">
        <v>21</v>
      </c>
      <c r="U394" t="str">
        <f t="shared" si="13"/>
        <v>Freya Gregory:1</v>
      </c>
    </row>
    <row r="395" spans="1:21" x14ac:dyDescent="0.2">
      <c r="A395" t="s">
        <v>203</v>
      </c>
      <c r="B395" t="s">
        <v>618</v>
      </c>
      <c r="C395" t="s">
        <v>619</v>
      </c>
      <c r="D395" t="s">
        <v>94</v>
      </c>
      <c r="E395" t="s">
        <v>27</v>
      </c>
      <c r="F395">
        <v>22</v>
      </c>
      <c r="G395">
        <v>1999</v>
      </c>
      <c r="H395">
        <v>21</v>
      </c>
      <c r="I395">
        <v>10</v>
      </c>
      <c r="J395">
        <v>985</v>
      </c>
      <c r="K395">
        <v>3</v>
      </c>
      <c r="L395">
        <v>0</v>
      </c>
      <c r="M395">
        <v>3</v>
      </c>
      <c r="N395">
        <v>0</v>
      </c>
      <c r="O395">
        <v>0</v>
      </c>
      <c r="P395">
        <v>0</v>
      </c>
      <c r="Q395">
        <v>0</v>
      </c>
      <c r="R395">
        <f t="shared" si="12"/>
        <v>3.3840947546531304E-5</v>
      </c>
      <c r="S395" t="s">
        <v>339</v>
      </c>
      <c r="T395">
        <v>55</v>
      </c>
      <c r="U395" t="str">
        <f t="shared" si="13"/>
        <v>Frida Maanum:0</v>
      </c>
    </row>
    <row r="396" spans="1:21" x14ac:dyDescent="0.2">
      <c r="A396" t="s">
        <v>131</v>
      </c>
      <c r="B396" t="s">
        <v>606</v>
      </c>
      <c r="C396" t="s">
        <v>607</v>
      </c>
      <c r="D396" t="s">
        <v>50</v>
      </c>
      <c r="E396" t="s">
        <v>55</v>
      </c>
      <c r="F396">
        <v>24</v>
      </c>
      <c r="G396">
        <v>1997</v>
      </c>
      <c r="H396">
        <v>21</v>
      </c>
      <c r="I396">
        <v>21</v>
      </c>
      <c r="J396">
        <v>1890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5</v>
      </c>
      <c r="Q396">
        <v>0</v>
      </c>
      <c r="R396">
        <f t="shared" si="12"/>
        <v>0</v>
      </c>
      <c r="S396" t="s">
        <v>339</v>
      </c>
      <c r="T396">
        <v>20</v>
      </c>
      <c r="U396" t="str">
        <f t="shared" si="13"/>
        <v>Gabrielle George:0</v>
      </c>
    </row>
    <row r="397" spans="1:21" x14ac:dyDescent="0.2">
      <c r="A397" t="s">
        <v>361</v>
      </c>
      <c r="B397" t="s">
        <v>606</v>
      </c>
      <c r="C397" t="s">
        <v>607</v>
      </c>
      <c r="D397" t="s">
        <v>42</v>
      </c>
      <c r="E397" t="s">
        <v>37</v>
      </c>
      <c r="F397">
        <v>34</v>
      </c>
      <c r="G397">
        <v>1987</v>
      </c>
      <c r="H397">
        <v>3</v>
      </c>
      <c r="I397">
        <v>0</v>
      </c>
      <c r="J397">
        <v>66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f t="shared" si="12"/>
        <v>0</v>
      </c>
      <c r="S397" t="s">
        <v>339</v>
      </c>
      <c r="T397">
        <v>21</v>
      </c>
      <c r="U397" t="str">
        <f t="shared" si="13"/>
        <v>Gemma Davison:0</v>
      </c>
    </row>
    <row r="398" spans="1:21" x14ac:dyDescent="0.2">
      <c r="A398" t="s">
        <v>113</v>
      </c>
      <c r="B398" t="s">
        <v>624</v>
      </c>
      <c r="C398" t="s">
        <v>625</v>
      </c>
      <c r="D398" t="s">
        <v>50</v>
      </c>
      <c r="E398" t="s">
        <v>35</v>
      </c>
      <c r="F398">
        <v>24</v>
      </c>
      <c r="G398">
        <v>1996</v>
      </c>
      <c r="H398">
        <v>22</v>
      </c>
      <c r="I398">
        <v>22</v>
      </c>
      <c r="J398">
        <v>1980</v>
      </c>
      <c r="K398">
        <v>0</v>
      </c>
      <c r="L398">
        <v>1</v>
      </c>
      <c r="M398">
        <v>0</v>
      </c>
      <c r="N398">
        <v>0</v>
      </c>
      <c r="O398">
        <v>0</v>
      </c>
      <c r="P398">
        <v>0</v>
      </c>
      <c r="Q398">
        <v>0</v>
      </c>
      <c r="R398">
        <f t="shared" si="12"/>
        <v>0</v>
      </c>
      <c r="S398" t="s">
        <v>339</v>
      </c>
      <c r="T398">
        <v>25</v>
      </c>
      <c r="U398" t="str">
        <f t="shared" si="13"/>
        <v>Gemma Evans:1</v>
      </c>
    </row>
    <row r="399" spans="1:21" x14ac:dyDescent="0.2">
      <c r="A399" t="s">
        <v>391</v>
      </c>
      <c r="B399" t="s">
        <v>606</v>
      </c>
      <c r="C399" t="s">
        <v>607</v>
      </c>
      <c r="D399" t="s">
        <v>50</v>
      </c>
      <c r="E399" t="s">
        <v>360</v>
      </c>
      <c r="F399">
        <v>20</v>
      </c>
      <c r="G399">
        <v>2001</v>
      </c>
      <c r="H399">
        <v>19</v>
      </c>
      <c r="I399">
        <v>18</v>
      </c>
      <c r="J399">
        <v>1618</v>
      </c>
      <c r="K399">
        <v>1</v>
      </c>
      <c r="L399">
        <v>0</v>
      </c>
      <c r="M399">
        <v>1</v>
      </c>
      <c r="N399">
        <v>0</v>
      </c>
      <c r="O399">
        <v>0</v>
      </c>
      <c r="P399">
        <v>2</v>
      </c>
      <c r="Q399">
        <v>0</v>
      </c>
      <c r="R399">
        <f t="shared" si="12"/>
        <v>6.8671885729982136E-6</v>
      </c>
      <c r="S399" t="s">
        <v>339</v>
      </c>
      <c r="T399">
        <v>11</v>
      </c>
      <c r="U399" t="str">
        <f t="shared" si="13"/>
        <v>Gemma Lawley:0</v>
      </c>
    </row>
    <row r="400" spans="1:21" x14ac:dyDescent="0.2">
      <c r="A400" t="s">
        <v>72</v>
      </c>
      <c r="B400" t="s">
        <v>606</v>
      </c>
      <c r="C400" t="s">
        <v>607</v>
      </c>
      <c r="D400" t="s">
        <v>50</v>
      </c>
      <c r="E400" t="s">
        <v>46</v>
      </c>
      <c r="F400">
        <v>25</v>
      </c>
      <c r="G400">
        <v>1996</v>
      </c>
      <c r="H400">
        <v>11</v>
      </c>
      <c r="I400">
        <v>8</v>
      </c>
      <c r="J400">
        <v>725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1</v>
      </c>
      <c r="Q400">
        <v>0</v>
      </c>
      <c r="R400">
        <f t="shared" si="12"/>
        <v>0</v>
      </c>
      <c r="S400" t="s">
        <v>339</v>
      </c>
      <c r="T400">
        <v>13</v>
      </c>
      <c r="U400" t="str">
        <f t="shared" si="13"/>
        <v>Georgia Brougham:0</v>
      </c>
    </row>
    <row r="401" spans="1:21" x14ac:dyDescent="0.2">
      <c r="A401" t="s">
        <v>412</v>
      </c>
      <c r="B401" t="s">
        <v>606</v>
      </c>
      <c r="C401" t="s">
        <v>607</v>
      </c>
      <c r="D401" t="s">
        <v>94</v>
      </c>
      <c r="E401" t="s">
        <v>32</v>
      </c>
      <c r="F401">
        <v>22</v>
      </c>
      <c r="G401">
        <v>1999</v>
      </c>
      <c r="H401">
        <v>22</v>
      </c>
      <c r="I401">
        <v>19</v>
      </c>
      <c r="J401">
        <v>1667</v>
      </c>
      <c r="K401">
        <v>8</v>
      </c>
      <c r="L401">
        <v>1</v>
      </c>
      <c r="M401">
        <v>8</v>
      </c>
      <c r="N401">
        <v>0</v>
      </c>
      <c r="O401">
        <v>0</v>
      </c>
      <c r="P401">
        <v>2</v>
      </c>
      <c r="Q401">
        <v>1</v>
      </c>
      <c r="R401">
        <f t="shared" si="12"/>
        <v>5.3322668799573416E-5</v>
      </c>
      <c r="S401" t="s">
        <v>339</v>
      </c>
      <c r="T401">
        <v>47</v>
      </c>
      <c r="U401" t="str">
        <f t="shared" si="13"/>
        <v>Georgia Stanway:1</v>
      </c>
    </row>
    <row r="402" spans="1:21" x14ac:dyDescent="0.2">
      <c r="A402" t="s">
        <v>120</v>
      </c>
      <c r="B402" t="s">
        <v>606</v>
      </c>
      <c r="C402" t="s">
        <v>607</v>
      </c>
      <c r="D402" t="s">
        <v>50</v>
      </c>
      <c r="E402" t="s">
        <v>24</v>
      </c>
      <c r="F402">
        <v>29</v>
      </c>
      <c r="G402">
        <v>1991</v>
      </c>
      <c r="H402">
        <v>19</v>
      </c>
      <c r="I402">
        <v>19</v>
      </c>
      <c r="J402">
        <v>1710</v>
      </c>
      <c r="K402">
        <v>0</v>
      </c>
      <c r="L402">
        <v>2</v>
      </c>
      <c r="M402">
        <v>0</v>
      </c>
      <c r="N402">
        <v>0</v>
      </c>
      <c r="O402">
        <v>0</v>
      </c>
      <c r="P402">
        <v>1</v>
      </c>
      <c r="Q402">
        <v>0</v>
      </c>
      <c r="R402">
        <f t="shared" si="12"/>
        <v>0</v>
      </c>
      <c r="S402" t="s">
        <v>339</v>
      </c>
      <c r="T402">
        <v>27</v>
      </c>
      <c r="U402" t="str">
        <f t="shared" si="13"/>
        <v>Gilly Flaherty:2</v>
      </c>
    </row>
    <row r="403" spans="1:21" x14ac:dyDescent="0.2">
      <c r="A403" t="s">
        <v>358</v>
      </c>
      <c r="B403" t="s">
        <v>606</v>
      </c>
      <c r="C403" t="s">
        <v>607</v>
      </c>
      <c r="D403" t="s">
        <v>23</v>
      </c>
      <c r="E403" t="s">
        <v>55</v>
      </c>
      <c r="F403">
        <v>18</v>
      </c>
      <c r="G403">
        <v>2003</v>
      </c>
      <c r="H403">
        <v>8</v>
      </c>
      <c r="I403">
        <v>2</v>
      </c>
      <c r="J403">
        <v>217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f t="shared" si="12"/>
        <v>0</v>
      </c>
      <c r="S403" t="s">
        <v>339</v>
      </c>
      <c r="T403">
        <v>20</v>
      </c>
      <c r="U403" t="str">
        <f t="shared" si="13"/>
        <v>Grace Clinton:0</v>
      </c>
    </row>
    <row r="404" spans="1:21" x14ac:dyDescent="0.2">
      <c r="A404" t="s">
        <v>119</v>
      </c>
      <c r="B404" t="s">
        <v>606</v>
      </c>
      <c r="C404" t="s">
        <v>607</v>
      </c>
      <c r="D404" t="s">
        <v>50</v>
      </c>
      <c r="E404" t="s">
        <v>24</v>
      </c>
      <c r="F404">
        <v>23</v>
      </c>
      <c r="G404">
        <v>1998</v>
      </c>
      <c r="H404">
        <v>16</v>
      </c>
      <c r="I404">
        <v>15</v>
      </c>
      <c r="J404">
        <v>1350</v>
      </c>
      <c r="K404">
        <v>2</v>
      </c>
      <c r="L404">
        <v>0</v>
      </c>
      <c r="M404">
        <v>2</v>
      </c>
      <c r="N404">
        <v>0</v>
      </c>
      <c r="O404">
        <v>0</v>
      </c>
      <c r="P404">
        <v>0</v>
      </c>
      <c r="Q404">
        <v>0</v>
      </c>
      <c r="R404">
        <f t="shared" si="12"/>
        <v>1.6460905349794237E-5</v>
      </c>
      <c r="S404" t="s">
        <v>339</v>
      </c>
      <c r="T404">
        <v>27</v>
      </c>
      <c r="U404" t="str">
        <f t="shared" si="13"/>
        <v>Grace Fisk:0</v>
      </c>
    </row>
    <row r="405" spans="1:21" x14ac:dyDescent="0.2">
      <c r="A405" t="s">
        <v>370</v>
      </c>
      <c r="B405" t="s">
        <v>606</v>
      </c>
      <c r="C405" t="s">
        <v>607</v>
      </c>
      <c r="D405" t="s">
        <v>19</v>
      </c>
      <c r="E405" t="s">
        <v>24</v>
      </c>
      <c r="F405">
        <v>18</v>
      </c>
      <c r="G405">
        <v>2003</v>
      </c>
      <c r="H405">
        <v>2</v>
      </c>
      <c r="I405">
        <v>0</v>
      </c>
      <c r="J405">
        <v>7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f t="shared" si="12"/>
        <v>0</v>
      </c>
      <c r="S405" t="s">
        <v>339</v>
      </c>
      <c r="T405">
        <v>27</v>
      </c>
      <c r="U405" t="str">
        <f t="shared" si="13"/>
        <v>Grace Garrad:0</v>
      </c>
    </row>
    <row r="406" spans="1:21" x14ac:dyDescent="0.2">
      <c r="A406" t="s">
        <v>220</v>
      </c>
      <c r="B406" t="s">
        <v>632</v>
      </c>
      <c r="C406" t="s">
        <v>633</v>
      </c>
      <c r="D406" t="s">
        <v>40</v>
      </c>
      <c r="E406" t="s">
        <v>35</v>
      </c>
      <c r="F406">
        <v>28</v>
      </c>
      <c r="G406">
        <v>1993</v>
      </c>
      <c r="H406">
        <v>20</v>
      </c>
      <c r="I406">
        <v>20</v>
      </c>
      <c r="J406">
        <v>1754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1</v>
      </c>
      <c r="Q406">
        <v>0</v>
      </c>
      <c r="R406">
        <f t="shared" si="12"/>
        <v>0</v>
      </c>
      <c r="S406" t="s">
        <v>339</v>
      </c>
      <c r="T406">
        <v>25</v>
      </c>
      <c r="U406" t="str">
        <f t="shared" si="13"/>
        <v>Grace Moloney:0</v>
      </c>
    </row>
    <row r="407" spans="1:21" x14ac:dyDescent="0.2">
      <c r="A407" t="s">
        <v>258</v>
      </c>
      <c r="B407" t="s">
        <v>618</v>
      </c>
      <c r="C407" t="s">
        <v>619</v>
      </c>
      <c r="D407" t="s">
        <v>94</v>
      </c>
      <c r="E407" t="s">
        <v>20</v>
      </c>
      <c r="F407">
        <v>27</v>
      </c>
      <c r="G407">
        <v>1994</v>
      </c>
      <c r="H407">
        <v>21</v>
      </c>
      <c r="I407">
        <v>18</v>
      </c>
      <c r="J407">
        <v>1495</v>
      </c>
      <c r="K407">
        <v>7</v>
      </c>
      <c r="L407">
        <v>5</v>
      </c>
      <c r="M407">
        <v>7</v>
      </c>
      <c r="N407">
        <v>0</v>
      </c>
      <c r="O407">
        <v>0</v>
      </c>
      <c r="P407">
        <v>2</v>
      </c>
      <c r="Q407">
        <v>0</v>
      </c>
      <c r="R407">
        <f t="shared" si="12"/>
        <v>5.2025269416573758E-5</v>
      </c>
      <c r="S407" t="s">
        <v>339</v>
      </c>
      <c r="T407">
        <v>56</v>
      </c>
      <c r="U407" t="str">
        <f t="shared" si="13"/>
        <v>Guro Reiten:5</v>
      </c>
    </row>
    <row r="408" spans="1:21" x14ac:dyDescent="0.2">
      <c r="A408" t="s">
        <v>162</v>
      </c>
      <c r="B408" t="s">
        <v>606</v>
      </c>
      <c r="C408" t="s">
        <v>607</v>
      </c>
      <c r="D408" t="s">
        <v>50</v>
      </c>
      <c r="E408" t="s">
        <v>27</v>
      </c>
      <c r="F408">
        <v>16</v>
      </c>
      <c r="G408">
        <v>2004</v>
      </c>
      <c r="H408">
        <v>1</v>
      </c>
      <c r="I408">
        <v>0</v>
      </c>
      <c r="J408">
        <v>5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f t="shared" si="12"/>
        <v>0</v>
      </c>
      <c r="S408" t="s">
        <v>339</v>
      </c>
      <c r="T408">
        <v>55</v>
      </c>
      <c r="U408" t="str">
        <f t="shared" si="13"/>
        <v>Halle Houssein:0</v>
      </c>
    </row>
    <row r="409" spans="1:21" x14ac:dyDescent="0.2">
      <c r="A409" t="s">
        <v>162</v>
      </c>
      <c r="B409" t="s">
        <v>606</v>
      </c>
      <c r="C409" t="s">
        <v>607</v>
      </c>
      <c r="D409" t="s">
        <v>23</v>
      </c>
      <c r="E409" t="s">
        <v>24</v>
      </c>
      <c r="F409">
        <v>16</v>
      </c>
      <c r="G409">
        <v>2004</v>
      </c>
      <c r="H409">
        <v>5</v>
      </c>
      <c r="I409">
        <v>0</v>
      </c>
      <c r="J409">
        <v>26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f t="shared" si="12"/>
        <v>0</v>
      </c>
      <c r="S409" t="s">
        <v>339</v>
      </c>
      <c r="T409">
        <v>27</v>
      </c>
      <c r="U409" t="str">
        <f t="shared" si="13"/>
        <v>Halle Houssein:0</v>
      </c>
    </row>
    <row r="410" spans="1:21" x14ac:dyDescent="0.2">
      <c r="A410" t="s">
        <v>56</v>
      </c>
      <c r="B410" t="s">
        <v>658</v>
      </c>
      <c r="C410" t="s">
        <v>659</v>
      </c>
      <c r="D410" t="s">
        <v>23</v>
      </c>
      <c r="E410" t="s">
        <v>55</v>
      </c>
      <c r="F410">
        <v>18</v>
      </c>
      <c r="G410">
        <v>2002</v>
      </c>
      <c r="H410">
        <v>22</v>
      </c>
      <c r="I410">
        <v>10</v>
      </c>
      <c r="J410">
        <v>1223</v>
      </c>
      <c r="K410">
        <v>1</v>
      </c>
      <c r="L410">
        <v>2</v>
      </c>
      <c r="M410">
        <v>1</v>
      </c>
      <c r="N410">
        <v>0</v>
      </c>
      <c r="O410">
        <v>0</v>
      </c>
      <c r="P410">
        <v>0</v>
      </c>
      <c r="Q410">
        <v>0</v>
      </c>
      <c r="R410">
        <f t="shared" si="12"/>
        <v>9.0851276460434276E-6</v>
      </c>
      <c r="S410" t="s">
        <v>339</v>
      </c>
      <c r="T410">
        <v>20</v>
      </c>
      <c r="U410" t="str">
        <f t="shared" si="13"/>
        <v>Hanna Bennison:2</v>
      </c>
    </row>
    <row r="411" spans="1:21" x14ac:dyDescent="0.2">
      <c r="A411" t="s">
        <v>63</v>
      </c>
      <c r="B411" t="s">
        <v>606</v>
      </c>
      <c r="C411" t="s">
        <v>607</v>
      </c>
      <c r="D411" t="s">
        <v>50</v>
      </c>
      <c r="E411" t="s">
        <v>52</v>
      </c>
      <c r="F411">
        <v>27</v>
      </c>
      <c r="G411">
        <v>1994</v>
      </c>
      <c r="H411">
        <v>21</v>
      </c>
      <c r="I411">
        <v>19</v>
      </c>
      <c r="J411">
        <v>1768</v>
      </c>
      <c r="K411">
        <v>0</v>
      </c>
      <c r="L411">
        <v>5</v>
      </c>
      <c r="M411">
        <v>0</v>
      </c>
      <c r="N411">
        <v>0</v>
      </c>
      <c r="O411">
        <v>0</v>
      </c>
      <c r="P411">
        <v>2</v>
      </c>
      <c r="Q411">
        <v>0</v>
      </c>
      <c r="R411">
        <f t="shared" si="12"/>
        <v>0</v>
      </c>
      <c r="S411" t="s">
        <v>339</v>
      </c>
      <c r="T411">
        <v>42</v>
      </c>
      <c r="U411" t="str">
        <f t="shared" si="13"/>
        <v>Hannah Blundell:5</v>
      </c>
    </row>
    <row r="412" spans="1:21" x14ac:dyDescent="0.2">
      <c r="A412" t="s">
        <v>78</v>
      </c>
      <c r="B412" t="s">
        <v>624</v>
      </c>
      <c r="C412" t="s">
        <v>625</v>
      </c>
      <c r="D412" t="s">
        <v>94</v>
      </c>
      <c r="E412" t="s">
        <v>46</v>
      </c>
      <c r="F412">
        <v>22</v>
      </c>
      <c r="G412">
        <v>1999</v>
      </c>
      <c r="H412">
        <v>4</v>
      </c>
      <c r="I412">
        <v>4</v>
      </c>
      <c r="J412">
        <v>275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f t="shared" si="12"/>
        <v>0</v>
      </c>
      <c r="S412" t="s">
        <v>339</v>
      </c>
      <c r="T412">
        <v>13</v>
      </c>
      <c r="U412" t="str">
        <f t="shared" si="13"/>
        <v>Hannah Cain:0</v>
      </c>
    </row>
    <row r="413" spans="1:21" x14ac:dyDescent="0.2">
      <c r="A413" t="s">
        <v>146</v>
      </c>
      <c r="B413" t="s">
        <v>606</v>
      </c>
      <c r="C413" t="s">
        <v>607</v>
      </c>
      <c r="D413" t="s">
        <v>40</v>
      </c>
      <c r="E413" t="s">
        <v>37</v>
      </c>
      <c r="F413">
        <v>20</v>
      </c>
      <c r="G413">
        <v>2000</v>
      </c>
      <c r="H413">
        <v>20</v>
      </c>
      <c r="I413">
        <v>20</v>
      </c>
      <c r="J413">
        <v>1773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1</v>
      </c>
      <c r="Q413">
        <v>0</v>
      </c>
      <c r="R413">
        <f t="shared" si="12"/>
        <v>0</v>
      </c>
      <c r="S413" t="s">
        <v>339</v>
      </c>
      <c r="T413">
        <v>21</v>
      </c>
      <c r="U413" t="str">
        <f t="shared" si="13"/>
        <v>Hannah Hampton:0</v>
      </c>
    </row>
    <row r="414" spans="1:21" x14ac:dyDescent="0.2">
      <c r="A414" t="s">
        <v>407</v>
      </c>
      <c r="B414" t="s">
        <v>632</v>
      </c>
      <c r="C414" t="s">
        <v>633</v>
      </c>
      <c r="D414" t="s">
        <v>50</v>
      </c>
      <c r="E414" t="s">
        <v>360</v>
      </c>
      <c r="F414">
        <v>28</v>
      </c>
      <c r="G414">
        <v>1993</v>
      </c>
      <c r="H414">
        <v>20</v>
      </c>
      <c r="I414">
        <v>20</v>
      </c>
      <c r="J414">
        <v>1722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2</v>
      </c>
      <c r="Q414">
        <v>0</v>
      </c>
      <c r="R414">
        <f t="shared" si="12"/>
        <v>0</v>
      </c>
      <c r="S414" t="s">
        <v>339</v>
      </c>
      <c r="T414">
        <v>11</v>
      </c>
      <c r="U414" t="str">
        <f t="shared" si="13"/>
        <v>Harriet Scott:0</v>
      </c>
    </row>
    <row r="415" spans="1:21" x14ac:dyDescent="0.2">
      <c r="A415" t="s">
        <v>90</v>
      </c>
      <c r="B415" t="s">
        <v>610</v>
      </c>
      <c r="C415" t="s">
        <v>611</v>
      </c>
      <c r="D415" t="s">
        <v>50</v>
      </c>
      <c r="E415" t="s">
        <v>24</v>
      </c>
      <c r="F415">
        <v>24</v>
      </c>
      <c r="G415">
        <v>1997</v>
      </c>
      <c r="H415">
        <v>19</v>
      </c>
      <c r="I415">
        <v>19</v>
      </c>
      <c r="J415">
        <v>1534</v>
      </c>
      <c r="K415">
        <v>0</v>
      </c>
      <c r="L415">
        <v>1</v>
      </c>
      <c r="M415">
        <v>0</v>
      </c>
      <c r="N415">
        <v>0</v>
      </c>
      <c r="O415">
        <v>0</v>
      </c>
      <c r="P415">
        <v>5</v>
      </c>
      <c r="Q415">
        <v>2</v>
      </c>
      <c r="R415">
        <f t="shared" si="12"/>
        <v>0</v>
      </c>
      <c r="S415" t="s">
        <v>339</v>
      </c>
      <c r="T415">
        <v>27</v>
      </c>
      <c r="U415" t="str">
        <f t="shared" si="13"/>
        <v>Hawa Cissoko:1</v>
      </c>
    </row>
    <row r="416" spans="1:21" x14ac:dyDescent="0.2">
      <c r="A416" t="s">
        <v>188</v>
      </c>
      <c r="B416" t="s">
        <v>624</v>
      </c>
      <c r="C416" t="s">
        <v>625</v>
      </c>
      <c r="D416" t="s">
        <v>94</v>
      </c>
      <c r="E416" t="s">
        <v>52</v>
      </c>
      <c r="F416">
        <v>27</v>
      </c>
      <c r="G416">
        <v>1993</v>
      </c>
      <c r="H416">
        <v>14</v>
      </c>
      <c r="I416">
        <v>12</v>
      </c>
      <c r="J416">
        <v>1083</v>
      </c>
      <c r="K416">
        <v>2</v>
      </c>
      <c r="L416">
        <v>0</v>
      </c>
      <c r="M416">
        <v>2</v>
      </c>
      <c r="N416">
        <v>0</v>
      </c>
      <c r="O416">
        <v>0</v>
      </c>
      <c r="P416">
        <v>4</v>
      </c>
      <c r="Q416">
        <v>0</v>
      </c>
      <c r="R416">
        <f t="shared" si="12"/>
        <v>2.0519134092541295E-5</v>
      </c>
      <c r="S416" t="s">
        <v>339</v>
      </c>
      <c r="T416">
        <v>42</v>
      </c>
      <c r="U416" t="str">
        <f t="shared" si="13"/>
        <v>Hayley Ladd:0</v>
      </c>
    </row>
    <row r="417" spans="1:21" x14ac:dyDescent="0.2">
      <c r="A417" t="s">
        <v>256</v>
      </c>
      <c r="B417" t="s">
        <v>612</v>
      </c>
      <c r="C417" t="s">
        <v>613</v>
      </c>
      <c r="D417" t="s">
        <v>26</v>
      </c>
      <c r="E417" t="s">
        <v>32</v>
      </c>
      <c r="F417">
        <v>26</v>
      </c>
      <c r="G417">
        <v>1994</v>
      </c>
      <c r="H417">
        <v>13</v>
      </c>
      <c r="I417">
        <v>8</v>
      </c>
      <c r="J417">
        <v>643</v>
      </c>
      <c r="K417">
        <v>3</v>
      </c>
      <c r="L417">
        <v>3</v>
      </c>
      <c r="M417">
        <v>3</v>
      </c>
      <c r="N417">
        <v>0</v>
      </c>
      <c r="O417">
        <v>0</v>
      </c>
      <c r="P417">
        <v>0</v>
      </c>
      <c r="Q417">
        <v>0</v>
      </c>
      <c r="R417">
        <f t="shared" si="12"/>
        <v>5.1840331778123385E-5</v>
      </c>
      <c r="S417" t="s">
        <v>339</v>
      </c>
      <c r="T417">
        <v>47</v>
      </c>
      <c r="U417" t="str">
        <f t="shared" si="13"/>
        <v>Hayley Raso:3</v>
      </c>
    </row>
    <row r="418" spans="1:21" x14ac:dyDescent="0.2">
      <c r="A418" t="s">
        <v>388</v>
      </c>
      <c r="B418" t="s">
        <v>626</v>
      </c>
      <c r="C418" t="s">
        <v>627</v>
      </c>
      <c r="D418" t="s">
        <v>23</v>
      </c>
      <c r="E418" t="s">
        <v>48</v>
      </c>
      <c r="F418">
        <v>25</v>
      </c>
      <c r="G418">
        <v>1996</v>
      </c>
      <c r="H418">
        <v>20</v>
      </c>
      <c r="I418">
        <v>17</v>
      </c>
      <c r="J418">
        <v>1484</v>
      </c>
      <c r="K418">
        <v>4</v>
      </c>
      <c r="L418">
        <v>3</v>
      </c>
      <c r="M418">
        <v>1</v>
      </c>
      <c r="N418">
        <v>3</v>
      </c>
      <c r="O418">
        <v>3</v>
      </c>
      <c r="P418">
        <v>2</v>
      </c>
      <c r="Q418">
        <v>0</v>
      </c>
      <c r="R418">
        <f t="shared" si="12"/>
        <v>2.9949086552860139E-5</v>
      </c>
      <c r="S418" t="s">
        <v>339</v>
      </c>
      <c r="T418">
        <v>26</v>
      </c>
      <c r="U418" t="str">
        <f t="shared" si="13"/>
        <v>Inessa Kaagman:3</v>
      </c>
    </row>
    <row r="419" spans="1:21" x14ac:dyDescent="0.2">
      <c r="A419" t="s">
        <v>390</v>
      </c>
      <c r="B419" t="s">
        <v>606</v>
      </c>
      <c r="C419" t="s">
        <v>607</v>
      </c>
      <c r="D419" t="s">
        <v>29</v>
      </c>
      <c r="E419" t="s">
        <v>30</v>
      </c>
      <c r="F419">
        <v>17</v>
      </c>
      <c r="G419">
        <v>2003</v>
      </c>
      <c r="H419">
        <v>2</v>
      </c>
      <c r="I419">
        <v>0</v>
      </c>
      <c r="J419">
        <v>23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f t="shared" si="12"/>
        <v>0</v>
      </c>
      <c r="S419" t="s">
        <v>339</v>
      </c>
      <c r="T419">
        <v>32</v>
      </c>
      <c r="U419" t="str">
        <f t="shared" si="13"/>
        <v>Isabella Lane:0</v>
      </c>
    </row>
    <row r="420" spans="1:21" x14ac:dyDescent="0.2">
      <c r="A420" t="s">
        <v>368</v>
      </c>
      <c r="B420" t="s">
        <v>662</v>
      </c>
      <c r="C420" t="s">
        <v>663</v>
      </c>
      <c r="D420" t="s">
        <v>42</v>
      </c>
      <c r="E420" t="s">
        <v>52</v>
      </c>
      <c r="F420">
        <v>20</v>
      </c>
      <c r="G420">
        <v>2001</v>
      </c>
      <c r="H420">
        <v>7</v>
      </c>
      <c r="I420">
        <v>0</v>
      </c>
      <c r="J420">
        <v>81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f t="shared" si="12"/>
        <v>0</v>
      </c>
      <c r="S420" t="s">
        <v>339</v>
      </c>
      <c r="T420">
        <v>42</v>
      </c>
      <c r="U420" t="str">
        <f t="shared" si="13"/>
        <v>Ivana Fuso:0</v>
      </c>
    </row>
    <row r="421" spans="1:21" x14ac:dyDescent="0.2">
      <c r="A421" t="s">
        <v>89</v>
      </c>
      <c r="B421" t="s">
        <v>606</v>
      </c>
      <c r="C421" t="s">
        <v>607</v>
      </c>
      <c r="D421" t="s">
        <v>34</v>
      </c>
      <c r="E421" t="s">
        <v>55</v>
      </c>
      <c r="F421">
        <v>29</v>
      </c>
      <c r="G421">
        <v>1991</v>
      </c>
      <c r="H421">
        <v>20</v>
      </c>
      <c r="I421">
        <v>19</v>
      </c>
      <c r="J421">
        <v>1699</v>
      </c>
      <c r="K421">
        <v>0</v>
      </c>
      <c r="L421">
        <v>2</v>
      </c>
      <c r="M421">
        <v>0</v>
      </c>
      <c r="N421">
        <v>0</v>
      </c>
      <c r="O421">
        <v>2</v>
      </c>
      <c r="P421">
        <v>1</v>
      </c>
      <c r="Q421">
        <v>0</v>
      </c>
      <c r="R421">
        <f t="shared" si="12"/>
        <v>0</v>
      </c>
      <c r="S421" t="s">
        <v>339</v>
      </c>
      <c r="T421">
        <v>20</v>
      </c>
      <c r="U421" t="str">
        <f t="shared" si="13"/>
        <v>Izzy Christiansen:2</v>
      </c>
    </row>
    <row r="422" spans="1:21" x14ac:dyDescent="0.2">
      <c r="A422" t="s">
        <v>375</v>
      </c>
      <c r="B422" t="s">
        <v>626</v>
      </c>
      <c r="C422" t="s">
        <v>627</v>
      </c>
      <c r="D422" t="s">
        <v>34</v>
      </c>
      <c r="E422" t="s">
        <v>52</v>
      </c>
      <c r="F422">
        <v>26</v>
      </c>
      <c r="G422">
        <v>1994</v>
      </c>
      <c r="H422">
        <v>16</v>
      </c>
      <c r="I422">
        <v>12</v>
      </c>
      <c r="J422">
        <v>1063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1</v>
      </c>
      <c r="Q422">
        <v>0</v>
      </c>
      <c r="R422">
        <f t="shared" si="12"/>
        <v>0</v>
      </c>
      <c r="S422" t="s">
        <v>339</v>
      </c>
      <c r="T422">
        <v>42</v>
      </c>
      <c r="U422" t="str">
        <f t="shared" si="13"/>
        <v>Jackie Groenen:0</v>
      </c>
    </row>
    <row r="423" spans="1:21" x14ac:dyDescent="0.2">
      <c r="A423" t="s">
        <v>221</v>
      </c>
      <c r="B423" t="s">
        <v>606</v>
      </c>
      <c r="C423" t="s">
        <v>607</v>
      </c>
      <c r="D423" t="s">
        <v>34</v>
      </c>
      <c r="E423" t="s">
        <v>52</v>
      </c>
      <c r="F423">
        <v>30</v>
      </c>
      <c r="G423">
        <v>1990</v>
      </c>
      <c r="H423">
        <v>3</v>
      </c>
      <c r="I423">
        <v>0</v>
      </c>
      <c r="J423">
        <v>41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f t="shared" si="12"/>
        <v>0</v>
      </c>
      <c r="S423" t="s">
        <v>339</v>
      </c>
      <c r="T423">
        <v>42</v>
      </c>
      <c r="U423" t="str">
        <f t="shared" si="13"/>
        <v>Jade Moore:0</v>
      </c>
    </row>
    <row r="424" spans="1:21" x14ac:dyDescent="0.2">
      <c r="A424" t="s">
        <v>396</v>
      </c>
      <c r="B424" t="s">
        <v>606</v>
      </c>
      <c r="C424" t="s">
        <v>607</v>
      </c>
      <c r="D424" t="s">
        <v>42</v>
      </c>
      <c r="E424" t="s">
        <v>360</v>
      </c>
      <c r="F424">
        <v>28</v>
      </c>
      <c r="G424">
        <v>1993</v>
      </c>
      <c r="H424">
        <v>19</v>
      </c>
      <c r="I424">
        <v>17</v>
      </c>
      <c r="J424">
        <v>1417</v>
      </c>
      <c r="K424">
        <v>2</v>
      </c>
      <c r="L424">
        <v>1</v>
      </c>
      <c r="M424">
        <v>2</v>
      </c>
      <c r="N424">
        <v>0</v>
      </c>
      <c r="O424">
        <v>0</v>
      </c>
      <c r="P424">
        <v>0</v>
      </c>
      <c r="Q424">
        <v>0</v>
      </c>
      <c r="R424">
        <f t="shared" si="12"/>
        <v>1.5682584489923939E-5</v>
      </c>
      <c r="S424" t="s">
        <v>339</v>
      </c>
      <c r="T424">
        <v>11</v>
      </c>
      <c r="U424" t="str">
        <f t="shared" si="13"/>
        <v>Jade Pennock:1</v>
      </c>
    </row>
    <row r="425" spans="1:21" x14ac:dyDescent="0.2">
      <c r="A425" t="s">
        <v>367</v>
      </c>
      <c r="B425" t="s">
        <v>632</v>
      </c>
      <c r="C425" t="s">
        <v>633</v>
      </c>
      <c r="D425" t="s">
        <v>29</v>
      </c>
      <c r="E425" t="s">
        <v>360</v>
      </c>
      <c r="F425">
        <v>23</v>
      </c>
      <c r="G425">
        <v>1998</v>
      </c>
      <c r="H425">
        <v>20</v>
      </c>
      <c r="I425">
        <v>18</v>
      </c>
      <c r="J425">
        <v>1650</v>
      </c>
      <c r="K425">
        <v>0</v>
      </c>
      <c r="L425">
        <v>1</v>
      </c>
      <c r="M425">
        <v>0</v>
      </c>
      <c r="N425">
        <v>0</v>
      </c>
      <c r="O425">
        <v>0</v>
      </c>
      <c r="P425">
        <v>1</v>
      </c>
      <c r="Q425">
        <v>0</v>
      </c>
      <c r="R425">
        <f t="shared" si="12"/>
        <v>0</v>
      </c>
      <c r="S425" t="s">
        <v>339</v>
      </c>
      <c r="T425">
        <v>11</v>
      </c>
      <c r="U425" t="str">
        <f t="shared" si="13"/>
        <v>Jamie Finn:1</v>
      </c>
    </row>
    <row r="426" spans="1:21" x14ac:dyDescent="0.2">
      <c r="A426" t="s">
        <v>348</v>
      </c>
      <c r="B426" t="s">
        <v>608</v>
      </c>
      <c r="C426" t="s">
        <v>609</v>
      </c>
      <c r="D426" t="s">
        <v>248</v>
      </c>
      <c r="E426" t="s">
        <v>32</v>
      </c>
      <c r="F426">
        <v>26</v>
      </c>
      <c r="G426">
        <v>1994</v>
      </c>
      <c r="H426">
        <v>11</v>
      </c>
      <c r="I426">
        <v>5</v>
      </c>
      <c r="J426">
        <v>503</v>
      </c>
      <c r="K426">
        <v>1</v>
      </c>
      <c r="L426">
        <v>0</v>
      </c>
      <c r="M426">
        <v>1</v>
      </c>
      <c r="N426">
        <v>0</v>
      </c>
      <c r="O426">
        <v>0</v>
      </c>
      <c r="P426">
        <v>1</v>
      </c>
      <c r="Q426">
        <v>0</v>
      </c>
      <c r="R426">
        <f t="shared" si="12"/>
        <v>2.2089684117517116E-5</v>
      </c>
      <c r="S426" t="s">
        <v>339</v>
      </c>
      <c r="T426">
        <v>47</v>
      </c>
      <c r="U426" t="str">
        <f t="shared" si="13"/>
        <v>Janine Beckie:0</v>
      </c>
    </row>
    <row r="427" spans="1:21" x14ac:dyDescent="0.2">
      <c r="A427" t="s">
        <v>252</v>
      </c>
      <c r="B427" t="s">
        <v>606</v>
      </c>
      <c r="C427" t="s">
        <v>607</v>
      </c>
      <c r="D427" t="s">
        <v>29</v>
      </c>
      <c r="E427" t="s">
        <v>46</v>
      </c>
      <c r="F427">
        <v>24</v>
      </c>
      <c r="G427">
        <v>1997</v>
      </c>
      <c r="H427">
        <v>20</v>
      </c>
      <c r="I427">
        <v>19</v>
      </c>
      <c r="J427">
        <v>1644</v>
      </c>
      <c r="K427">
        <v>2</v>
      </c>
      <c r="L427">
        <v>1</v>
      </c>
      <c r="M427">
        <v>2</v>
      </c>
      <c r="N427">
        <v>0</v>
      </c>
      <c r="O427">
        <v>0</v>
      </c>
      <c r="P427">
        <v>2</v>
      </c>
      <c r="Q427">
        <v>1</v>
      </c>
      <c r="R427">
        <f t="shared" si="12"/>
        <v>1.3517166801838336E-5</v>
      </c>
      <c r="S427" t="s">
        <v>339</v>
      </c>
      <c r="T427">
        <v>13</v>
      </c>
      <c r="U427" t="str">
        <f t="shared" si="13"/>
        <v>Jemma Purfield:1</v>
      </c>
    </row>
    <row r="428" spans="1:21" x14ac:dyDescent="0.2">
      <c r="A428" t="s">
        <v>53</v>
      </c>
      <c r="B428" t="s">
        <v>652</v>
      </c>
      <c r="C428" t="s">
        <v>653</v>
      </c>
      <c r="D428" t="s">
        <v>29</v>
      </c>
      <c r="E428" t="s">
        <v>27</v>
      </c>
      <c r="F428">
        <v>30</v>
      </c>
      <c r="G428">
        <v>1991</v>
      </c>
      <c r="H428">
        <v>9</v>
      </c>
      <c r="I428">
        <v>7</v>
      </c>
      <c r="J428">
        <v>586</v>
      </c>
      <c r="K428">
        <v>1</v>
      </c>
      <c r="L428">
        <v>0</v>
      </c>
      <c r="M428">
        <v>1</v>
      </c>
      <c r="N428">
        <v>0</v>
      </c>
      <c r="O428">
        <v>0</v>
      </c>
      <c r="P428">
        <v>0</v>
      </c>
      <c r="Q428">
        <v>0</v>
      </c>
      <c r="R428">
        <f t="shared" si="12"/>
        <v>1.8960940462646949E-5</v>
      </c>
      <c r="S428" t="s">
        <v>339</v>
      </c>
      <c r="T428">
        <v>55</v>
      </c>
      <c r="U428" t="str">
        <f t="shared" si="13"/>
        <v>Jennifer Beattie:0</v>
      </c>
    </row>
    <row r="429" spans="1:21" x14ac:dyDescent="0.2">
      <c r="A429" t="s">
        <v>369</v>
      </c>
      <c r="B429" t="s">
        <v>640</v>
      </c>
      <c r="C429" t="s">
        <v>641</v>
      </c>
      <c r="D429" t="s">
        <v>248</v>
      </c>
      <c r="E429" t="s">
        <v>35</v>
      </c>
      <c r="F429">
        <v>32</v>
      </c>
      <c r="G429">
        <v>1988</v>
      </c>
      <c r="H429">
        <v>2</v>
      </c>
      <c r="I429">
        <v>0</v>
      </c>
      <c r="J429">
        <v>21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f t="shared" si="12"/>
        <v>0</v>
      </c>
      <c r="S429" t="s">
        <v>339</v>
      </c>
      <c r="T429">
        <v>25</v>
      </c>
      <c r="U429" t="str">
        <f t="shared" si="13"/>
        <v>Jeon Ga-eul:0</v>
      </c>
    </row>
    <row r="430" spans="1:21" x14ac:dyDescent="0.2">
      <c r="A430" t="s">
        <v>83</v>
      </c>
      <c r="B430" t="s">
        <v>606</v>
      </c>
      <c r="C430" t="s">
        <v>607</v>
      </c>
      <c r="D430" t="s">
        <v>50</v>
      </c>
      <c r="E430" t="s">
        <v>20</v>
      </c>
      <c r="F430">
        <v>23</v>
      </c>
      <c r="G430">
        <v>1997</v>
      </c>
      <c r="H430">
        <v>21</v>
      </c>
      <c r="I430">
        <v>19</v>
      </c>
      <c r="J430">
        <v>1685</v>
      </c>
      <c r="K430">
        <v>0</v>
      </c>
      <c r="L430">
        <v>1</v>
      </c>
      <c r="M430">
        <v>0</v>
      </c>
      <c r="N430">
        <v>0</v>
      </c>
      <c r="O430">
        <v>0</v>
      </c>
      <c r="P430">
        <v>1</v>
      </c>
      <c r="Q430">
        <v>0</v>
      </c>
      <c r="R430">
        <f t="shared" si="12"/>
        <v>0</v>
      </c>
      <c r="S430" t="s">
        <v>339</v>
      </c>
      <c r="T430">
        <v>56</v>
      </c>
      <c r="U430" t="str">
        <f t="shared" si="13"/>
        <v>Jess Carter:1</v>
      </c>
    </row>
    <row r="431" spans="1:21" x14ac:dyDescent="0.2">
      <c r="A431" t="s">
        <v>230</v>
      </c>
      <c r="B431" t="s">
        <v>606</v>
      </c>
      <c r="C431" t="s">
        <v>607</v>
      </c>
      <c r="D431" t="s">
        <v>42</v>
      </c>
      <c r="E431" t="s">
        <v>30</v>
      </c>
      <c r="F431">
        <v>20</v>
      </c>
      <c r="G431">
        <v>2000</v>
      </c>
      <c r="H431">
        <v>16</v>
      </c>
      <c r="I431">
        <v>14</v>
      </c>
      <c r="J431">
        <v>1180</v>
      </c>
      <c r="K431">
        <v>2</v>
      </c>
      <c r="L431">
        <v>3</v>
      </c>
      <c r="M431">
        <v>2</v>
      </c>
      <c r="N431">
        <v>0</v>
      </c>
      <c r="O431">
        <v>0</v>
      </c>
      <c r="P431">
        <v>1</v>
      </c>
      <c r="Q431">
        <v>0</v>
      </c>
      <c r="R431">
        <f t="shared" si="12"/>
        <v>1.8832391713747646E-5</v>
      </c>
      <c r="S431" t="s">
        <v>339</v>
      </c>
      <c r="T431">
        <v>32</v>
      </c>
      <c r="U431" t="str">
        <f t="shared" si="13"/>
        <v>Jessica Ngunga:3</v>
      </c>
    </row>
    <row r="432" spans="1:21" x14ac:dyDescent="0.2">
      <c r="A432" t="s">
        <v>236</v>
      </c>
      <c r="B432" t="s">
        <v>606</v>
      </c>
      <c r="C432" t="s">
        <v>607</v>
      </c>
      <c r="D432" t="s">
        <v>26</v>
      </c>
      <c r="E432" t="s">
        <v>32</v>
      </c>
      <c r="F432">
        <v>19</v>
      </c>
      <c r="G432">
        <v>2001</v>
      </c>
      <c r="H432">
        <v>13</v>
      </c>
      <c r="I432">
        <v>8</v>
      </c>
      <c r="J432">
        <v>706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f t="shared" si="12"/>
        <v>0</v>
      </c>
      <c r="S432" t="s">
        <v>339</v>
      </c>
      <c r="T432">
        <v>47</v>
      </c>
      <c r="U432" t="str">
        <f t="shared" si="13"/>
        <v>Jessica Park:0</v>
      </c>
    </row>
    <row r="433" spans="1:21" x14ac:dyDescent="0.2">
      <c r="A433" t="s">
        <v>276</v>
      </c>
      <c r="B433" t="s">
        <v>606</v>
      </c>
      <c r="C433" t="s">
        <v>607</v>
      </c>
      <c r="D433" t="s">
        <v>26</v>
      </c>
      <c r="E433" t="s">
        <v>46</v>
      </c>
      <c r="F433">
        <v>26</v>
      </c>
      <c r="G433">
        <v>1994</v>
      </c>
      <c r="H433">
        <v>13</v>
      </c>
      <c r="I433">
        <v>13</v>
      </c>
      <c r="J433">
        <v>1123</v>
      </c>
      <c r="K433">
        <v>2</v>
      </c>
      <c r="L433">
        <v>1</v>
      </c>
      <c r="M433">
        <v>1</v>
      </c>
      <c r="N433">
        <v>1</v>
      </c>
      <c r="O433">
        <v>1</v>
      </c>
      <c r="P433">
        <v>4</v>
      </c>
      <c r="Q433">
        <v>0</v>
      </c>
      <c r="R433">
        <f t="shared" si="12"/>
        <v>1.9788265558523794E-5</v>
      </c>
      <c r="S433" t="s">
        <v>339</v>
      </c>
      <c r="T433">
        <v>13</v>
      </c>
      <c r="U433" t="str">
        <f t="shared" si="13"/>
        <v>Jessica Sigsworth:1</v>
      </c>
    </row>
    <row r="434" spans="1:21" x14ac:dyDescent="0.2">
      <c r="A434" t="s">
        <v>122</v>
      </c>
      <c r="B434" t="s">
        <v>608</v>
      </c>
      <c r="C434" t="s">
        <v>609</v>
      </c>
      <c r="D434" t="s">
        <v>42</v>
      </c>
      <c r="E434" t="s">
        <v>20</v>
      </c>
      <c r="F434">
        <v>23</v>
      </c>
      <c r="G434">
        <v>1998</v>
      </c>
      <c r="H434">
        <v>21</v>
      </c>
      <c r="I434">
        <v>11</v>
      </c>
      <c r="J434">
        <v>1059</v>
      </c>
      <c r="K434">
        <v>6</v>
      </c>
      <c r="L434">
        <v>4</v>
      </c>
      <c r="M434">
        <v>6</v>
      </c>
      <c r="N434">
        <v>0</v>
      </c>
      <c r="O434">
        <v>0</v>
      </c>
      <c r="P434">
        <v>1</v>
      </c>
      <c r="Q434">
        <v>0</v>
      </c>
      <c r="R434">
        <f t="shared" si="12"/>
        <v>6.2952470884482221E-5</v>
      </c>
      <c r="S434" t="s">
        <v>339</v>
      </c>
      <c r="T434">
        <v>56</v>
      </c>
      <c r="U434" t="str">
        <f t="shared" si="13"/>
        <v>Jessie Fleming:4</v>
      </c>
    </row>
    <row r="435" spans="1:21" x14ac:dyDescent="0.2">
      <c r="A435" t="s">
        <v>411</v>
      </c>
      <c r="B435" t="s">
        <v>640</v>
      </c>
      <c r="C435" t="s">
        <v>641</v>
      </c>
      <c r="D435" t="s">
        <v>34</v>
      </c>
      <c r="E435" t="s">
        <v>20</v>
      </c>
      <c r="F435">
        <v>30</v>
      </c>
      <c r="G435">
        <v>1991</v>
      </c>
      <c r="H435">
        <v>12</v>
      </c>
      <c r="I435">
        <v>8</v>
      </c>
      <c r="J435">
        <v>649</v>
      </c>
      <c r="K435">
        <v>0</v>
      </c>
      <c r="L435">
        <v>5</v>
      </c>
      <c r="M435">
        <v>0</v>
      </c>
      <c r="N435">
        <v>0</v>
      </c>
      <c r="O435">
        <v>0</v>
      </c>
      <c r="P435">
        <v>0</v>
      </c>
      <c r="Q435">
        <v>0</v>
      </c>
      <c r="R435">
        <f t="shared" si="12"/>
        <v>0</v>
      </c>
      <c r="S435" t="s">
        <v>339</v>
      </c>
      <c r="T435">
        <v>56</v>
      </c>
      <c r="U435" t="str">
        <f t="shared" si="13"/>
        <v>Ji So-yun:5</v>
      </c>
    </row>
    <row r="436" spans="1:21" x14ac:dyDescent="0.2">
      <c r="A436" t="s">
        <v>408</v>
      </c>
      <c r="B436" t="s">
        <v>606</v>
      </c>
      <c r="C436" t="s">
        <v>607</v>
      </c>
      <c r="D436" t="s">
        <v>34</v>
      </c>
      <c r="E436" t="s">
        <v>37</v>
      </c>
      <c r="F436">
        <v>34</v>
      </c>
      <c r="G436">
        <v>1987</v>
      </c>
      <c r="H436">
        <v>7</v>
      </c>
      <c r="I436">
        <v>6</v>
      </c>
      <c r="J436">
        <v>515</v>
      </c>
      <c r="K436">
        <v>0</v>
      </c>
      <c r="L436">
        <v>1</v>
      </c>
      <c r="M436">
        <v>0</v>
      </c>
      <c r="N436">
        <v>0</v>
      </c>
      <c r="O436">
        <v>0</v>
      </c>
      <c r="P436">
        <v>0</v>
      </c>
      <c r="Q436">
        <v>0</v>
      </c>
      <c r="R436">
        <f t="shared" si="12"/>
        <v>0</v>
      </c>
      <c r="S436" t="s">
        <v>339</v>
      </c>
      <c r="T436">
        <v>21</v>
      </c>
      <c r="U436" t="str">
        <f t="shared" si="13"/>
        <v>Jill Scott:1</v>
      </c>
    </row>
    <row r="437" spans="1:21" x14ac:dyDescent="0.2">
      <c r="A437" t="s">
        <v>408</v>
      </c>
      <c r="B437" t="s">
        <v>606</v>
      </c>
      <c r="C437" t="s">
        <v>607</v>
      </c>
      <c r="D437" t="s">
        <v>50</v>
      </c>
      <c r="E437" t="s">
        <v>32</v>
      </c>
      <c r="F437">
        <v>34</v>
      </c>
      <c r="G437">
        <v>1987</v>
      </c>
      <c r="H437">
        <v>8</v>
      </c>
      <c r="I437">
        <v>5</v>
      </c>
      <c r="J437">
        <v>492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f t="shared" si="12"/>
        <v>0</v>
      </c>
      <c r="S437" t="s">
        <v>339</v>
      </c>
      <c r="T437">
        <v>47</v>
      </c>
      <c r="U437" t="str">
        <f t="shared" si="13"/>
        <v>Jill Scott:0</v>
      </c>
    </row>
    <row r="438" spans="1:21" x14ac:dyDescent="0.2">
      <c r="A438" t="s">
        <v>384</v>
      </c>
      <c r="B438" t="s">
        <v>606</v>
      </c>
      <c r="C438" t="s">
        <v>607</v>
      </c>
      <c r="D438" t="s">
        <v>42</v>
      </c>
      <c r="E438" t="s">
        <v>37</v>
      </c>
      <c r="F438">
        <v>20</v>
      </c>
      <c r="G438">
        <v>2001</v>
      </c>
      <c r="H438">
        <v>4</v>
      </c>
      <c r="I438">
        <v>1</v>
      </c>
      <c r="J438">
        <v>101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1</v>
      </c>
      <c r="Q438">
        <v>0</v>
      </c>
      <c r="R438">
        <f t="shared" si="12"/>
        <v>0</v>
      </c>
      <c r="S438" t="s">
        <v>339</v>
      </c>
      <c r="T438">
        <v>21</v>
      </c>
      <c r="U438" t="str">
        <f t="shared" si="13"/>
        <v>Jodie Hutton:0</v>
      </c>
    </row>
    <row r="439" spans="1:21" x14ac:dyDescent="0.2">
      <c r="A439" t="s">
        <v>341</v>
      </c>
      <c r="B439" t="s">
        <v>658</v>
      </c>
      <c r="C439" t="s">
        <v>659</v>
      </c>
      <c r="D439" t="s">
        <v>94</v>
      </c>
      <c r="E439" t="s">
        <v>20</v>
      </c>
      <c r="F439">
        <v>28</v>
      </c>
      <c r="G439">
        <v>1993</v>
      </c>
      <c r="H439">
        <v>20</v>
      </c>
      <c r="I439">
        <v>11</v>
      </c>
      <c r="J439">
        <v>1006</v>
      </c>
      <c r="K439">
        <v>0</v>
      </c>
      <c r="L439">
        <v>3</v>
      </c>
      <c r="M439">
        <v>0</v>
      </c>
      <c r="N439">
        <v>0</v>
      </c>
      <c r="O439">
        <v>0</v>
      </c>
      <c r="P439">
        <v>1</v>
      </c>
      <c r="Q439">
        <v>0</v>
      </c>
      <c r="R439">
        <f t="shared" si="12"/>
        <v>0</v>
      </c>
      <c r="S439" t="s">
        <v>339</v>
      </c>
      <c r="T439">
        <v>56</v>
      </c>
      <c r="U439" t="str">
        <f t="shared" si="13"/>
        <v>Jonna Andersson:3</v>
      </c>
    </row>
    <row r="440" spans="1:21" x14ac:dyDescent="0.2">
      <c r="A440" t="s">
        <v>231</v>
      </c>
      <c r="B440" t="s">
        <v>606</v>
      </c>
      <c r="C440" t="s">
        <v>607</v>
      </c>
      <c r="D440" t="s">
        <v>23</v>
      </c>
      <c r="E440" t="s">
        <v>27</v>
      </c>
      <c r="F440">
        <v>28</v>
      </c>
      <c r="G440">
        <v>1992</v>
      </c>
      <c r="H440">
        <v>16</v>
      </c>
      <c r="I440">
        <v>5</v>
      </c>
      <c r="J440">
        <v>593</v>
      </c>
      <c r="K440">
        <v>2</v>
      </c>
      <c r="L440">
        <v>1</v>
      </c>
      <c r="M440">
        <v>2</v>
      </c>
      <c r="N440">
        <v>0</v>
      </c>
      <c r="O440">
        <v>0</v>
      </c>
      <c r="P440">
        <v>1</v>
      </c>
      <c r="Q440">
        <v>0</v>
      </c>
      <c r="R440">
        <f t="shared" si="12"/>
        <v>3.7474236462432074E-5</v>
      </c>
      <c r="S440" t="s">
        <v>339</v>
      </c>
      <c r="T440">
        <v>55</v>
      </c>
      <c r="U440" t="str">
        <f t="shared" si="13"/>
        <v>Jordan Nobbs:1</v>
      </c>
    </row>
    <row r="441" spans="1:21" x14ac:dyDescent="0.2">
      <c r="A441" t="s">
        <v>126</v>
      </c>
      <c r="B441" t="s">
        <v>606</v>
      </c>
      <c r="C441" t="s">
        <v>607</v>
      </c>
      <c r="D441" t="s">
        <v>50</v>
      </c>
      <c r="E441" t="s">
        <v>20</v>
      </c>
      <c r="F441">
        <v>17</v>
      </c>
      <c r="G441">
        <v>2003</v>
      </c>
      <c r="H441">
        <v>1</v>
      </c>
      <c r="I441">
        <v>0</v>
      </c>
      <c r="J441">
        <v>12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f t="shared" si="12"/>
        <v>0</v>
      </c>
      <c r="S441" t="s">
        <v>339</v>
      </c>
      <c r="T441">
        <v>56</v>
      </c>
      <c r="U441" t="str">
        <f t="shared" si="13"/>
        <v>Jorja Fox:0</v>
      </c>
    </row>
    <row r="442" spans="1:21" x14ac:dyDescent="0.2">
      <c r="A442" t="s">
        <v>141</v>
      </c>
      <c r="B442" t="s">
        <v>624</v>
      </c>
      <c r="C442" t="s">
        <v>625</v>
      </c>
      <c r="D442" t="s">
        <v>34</v>
      </c>
      <c r="E442" t="s">
        <v>30</v>
      </c>
      <c r="F442">
        <v>28</v>
      </c>
      <c r="G442">
        <v>1993</v>
      </c>
      <c r="H442">
        <v>11</v>
      </c>
      <c r="I442">
        <v>6</v>
      </c>
      <c r="J442">
        <v>544</v>
      </c>
      <c r="K442">
        <v>1</v>
      </c>
      <c r="L442">
        <v>0</v>
      </c>
      <c r="M442">
        <v>1</v>
      </c>
      <c r="N442">
        <v>0</v>
      </c>
      <c r="O442">
        <v>0</v>
      </c>
      <c r="P442">
        <v>1</v>
      </c>
      <c r="Q442">
        <v>0</v>
      </c>
      <c r="R442">
        <f t="shared" si="12"/>
        <v>2.0424836601307188E-5</v>
      </c>
      <c r="S442" t="s">
        <v>339</v>
      </c>
      <c r="T442">
        <v>32</v>
      </c>
      <c r="U442" t="str">
        <f t="shared" si="13"/>
        <v>Josephine Green:0</v>
      </c>
    </row>
    <row r="443" spans="1:21" x14ac:dyDescent="0.2">
      <c r="A443" t="s">
        <v>336</v>
      </c>
      <c r="B443" t="s">
        <v>658</v>
      </c>
      <c r="C443" t="s">
        <v>659</v>
      </c>
      <c r="D443" t="s">
        <v>23</v>
      </c>
      <c r="E443" t="s">
        <v>48</v>
      </c>
      <c r="F443">
        <v>23</v>
      </c>
      <c r="G443">
        <v>1997</v>
      </c>
      <c r="H443">
        <v>11</v>
      </c>
      <c r="I443">
        <v>6</v>
      </c>
      <c r="J443">
        <v>565</v>
      </c>
      <c r="K443">
        <v>2</v>
      </c>
      <c r="L443">
        <v>0</v>
      </c>
      <c r="M443">
        <v>2</v>
      </c>
      <c r="N443">
        <v>0</v>
      </c>
      <c r="O443">
        <v>0</v>
      </c>
      <c r="P443">
        <v>0</v>
      </c>
      <c r="Q443">
        <v>0</v>
      </c>
      <c r="R443">
        <f t="shared" si="12"/>
        <v>3.9331366764995083E-5</v>
      </c>
      <c r="S443" t="s">
        <v>339</v>
      </c>
      <c r="T443">
        <v>26</v>
      </c>
      <c r="U443" t="str">
        <f t="shared" si="13"/>
        <v>Julia Zigiotti Olme:0</v>
      </c>
    </row>
    <row r="444" spans="1:21" x14ac:dyDescent="0.2">
      <c r="A444" t="s">
        <v>61</v>
      </c>
      <c r="B444" t="s">
        <v>618</v>
      </c>
      <c r="C444" t="s">
        <v>619</v>
      </c>
      <c r="D444" t="s">
        <v>19</v>
      </c>
      <c r="E444" t="s">
        <v>32</v>
      </c>
      <c r="F444">
        <v>19</v>
      </c>
      <c r="G444">
        <v>2001</v>
      </c>
      <c r="H444">
        <v>8</v>
      </c>
      <c r="I444">
        <v>3</v>
      </c>
      <c r="J444">
        <v>343</v>
      </c>
      <c r="K444">
        <v>1</v>
      </c>
      <c r="L444">
        <v>1</v>
      </c>
      <c r="M444">
        <v>1</v>
      </c>
      <c r="N444">
        <v>0</v>
      </c>
      <c r="O444">
        <v>0</v>
      </c>
      <c r="P444">
        <v>0</v>
      </c>
      <c r="Q444">
        <v>0</v>
      </c>
      <c r="R444">
        <f t="shared" si="12"/>
        <v>3.2393909944930352E-5</v>
      </c>
      <c r="S444" t="s">
        <v>339</v>
      </c>
      <c r="T444">
        <v>47</v>
      </c>
      <c r="U444" t="str">
        <f t="shared" si="13"/>
        <v>Julie Blakstad:1</v>
      </c>
    </row>
    <row r="445" spans="1:21" x14ac:dyDescent="0.2">
      <c r="A445" t="s">
        <v>314</v>
      </c>
      <c r="B445" t="s">
        <v>622</v>
      </c>
      <c r="C445" t="s">
        <v>623</v>
      </c>
      <c r="D445" t="s">
        <v>94</v>
      </c>
      <c r="E445" t="s">
        <v>35</v>
      </c>
      <c r="F445">
        <v>29</v>
      </c>
      <c r="G445">
        <v>1992</v>
      </c>
      <c r="H445">
        <v>19</v>
      </c>
      <c r="I445">
        <v>17</v>
      </c>
      <c r="J445">
        <v>1587</v>
      </c>
      <c r="K445">
        <v>2</v>
      </c>
      <c r="L445">
        <v>2</v>
      </c>
      <c r="M445">
        <v>1</v>
      </c>
      <c r="N445">
        <v>1</v>
      </c>
      <c r="O445">
        <v>1</v>
      </c>
      <c r="P445">
        <v>2</v>
      </c>
      <c r="Q445">
        <v>0</v>
      </c>
      <c r="R445">
        <f t="shared" si="12"/>
        <v>1.4002660505496045E-5</v>
      </c>
      <c r="S445" t="s">
        <v>339</v>
      </c>
      <c r="T445">
        <v>25</v>
      </c>
      <c r="U445" t="str">
        <f t="shared" si="13"/>
        <v>Justine Vanhaevermaet:2</v>
      </c>
    </row>
    <row r="446" spans="1:21" x14ac:dyDescent="0.2">
      <c r="A446" t="s">
        <v>349</v>
      </c>
      <c r="B446" t="s">
        <v>610</v>
      </c>
      <c r="C446" t="s">
        <v>611</v>
      </c>
      <c r="D446" t="s">
        <v>40</v>
      </c>
      <c r="E446" t="s">
        <v>32</v>
      </c>
      <c r="F446">
        <v>32</v>
      </c>
      <c r="G446">
        <v>1989</v>
      </c>
      <c r="H446">
        <v>10</v>
      </c>
      <c r="I446">
        <v>10</v>
      </c>
      <c r="J446">
        <v>900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f t="shared" si="12"/>
        <v>0</v>
      </c>
      <c r="S446" t="s">
        <v>339</v>
      </c>
      <c r="T446">
        <v>47</v>
      </c>
      <c r="U446" t="str">
        <f t="shared" si="13"/>
        <v>Karima Benameur:0</v>
      </c>
    </row>
    <row r="447" spans="1:21" x14ac:dyDescent="0.2">
      <c r="A447" t="s">
        <v>201</v>
      </c>
      <c r="B447" t="s">
        <v>606</v>
      </c>
      <c r="C447" t="s">
        <v>607</v>
      </c>
      <c r="D447" t="s">
        <v>50</v>
      </c>
      <c r="E447" t="s">
        <v>24</v>
      </c>
      <c r="F447">
        <v>32</v>
      </c>
      <c r="G447">
        <v>1989</v>
      </c>
      <c r="H447">
        <v>22</v>
      </c>
      <c r="I447">
        <v>20</v>
      </c>
      <c r="J447">
        <v>1759</v>
      </c>
      <c r="K447">
        <v>1</v>
      </c>
      <c r="L447">
        <v>2</v>
      </c>
      <c r="M447">
        <v>1</v>
      </c>
      <c r="N447">
        <v>0</v>
      </c>
      <c r="O447">
        <v>0</v>
      </c>
      <c r="P447">
        <v>4</v>
      </c>
      <c r="Q447">
        <v>0</v>
      </c>
      <c r="R447">
        <f t="shared" si="12"/>
        <v>6.3167203587897163E-6</v>
      </c>
      <c r="S447" t="s">
        <v>339</v>
      </c>
      <c r="T447">
        <v>27</v>
      </c>
      <c r="U447" t="str">
        <f t="shared" si="13"/>
        <v>Kate Longhurst:2</v>
      </c>
    </row>
    <row r="448" spans="1:21" x14ac:dyDescent="0.2">
      <c r="A448" t="s">
        <v>295</v>
      </c>
      <c r="B448" t="s">
        <v>664</v>
      </c>
      <c r="C448" t="s">
        <v>665</v>
      </c>
      <c r="D448" t="s">
        <v>29</v>
      </c>
      <c r="E448" t="s">
        <v>24</v>
      </c>
      <c r="F448">
        <v>25</v>
      </c>
      <c r="G448">
        <v>1996</v>
      </c>
      <c r="H448">
        <v>19</v>
      </c>
      <c r="I448">
        <v>17</v>
      </c>
      <c r="J448">
        <v>1545</v>
      </c>
      <c r="K448">
        <v>2</v>
      </c>
      <c r="L448">
        <v>4</v>
      </c>
      <c r="M448">
        <v>2</v>
      </c>
      <c r="N448">
        <v>0</v>
      </c>
      <c r="O448">
        <v>0</v>
      </c>
      <c r="P448">
        <v>2</v>
      </c>
      <c r="Q448">
        <v>0</v>
      </c>
      <c r="R448">
        <f t="shared" si="12"/>
        <v>1.438331535418914E-5</v>
      </c>
      <c r="S448" t="s">
        <v>339</v>
      </c>
      <c r="T448">
        <v>27</v>
      </c>
      <c r="U448" t="str">
        <f t="shared" si="13"/>
        <v>Kateřina Svitková:4</v>
      </c>
    </row>
    <row r="449" spans="1:21" x14ac:dyDescent="0.2">
      <c r="A449" t="s">
        <v>213</v>
      </c>
      <c r="B449" t="s">
        <v>632</v>
      </c>
      <c r="C449" t="s">
        <v>633</v>
      </c>
      <c r="D449" t="s">
        <v>19</v>
      </c>
      <c r="E449" t="s">
        <v>27</v>
      </c>
      <c r="F449">
        <v>25</v>
      </c>
      <c r="G449">
        <v>1995</v>
      </c>
      <c r="H449">
        <v>20</v>
      </c>
      <c r="I449">
        <v>16</v>
      </c>
      <c r="J449">
        <v>1330</v>
      </c>
      <c r="K449">
        <v>5</v>
      </c>
      <c r="L449">
        <v>6</v>
      </c>
      <c r="M449">
        <v>4</v>
      </c>
      <c r="N449">
        <v>1</v>
      </c>
      <c r="O449">
        <v>1</v>
      </c>
      <c r="P449">
        <v>9</v>
      </c>
      <c r="Q449">
        <v>1</v>
      </c>
      <c r="R449">
        <f t="shared" si="12"/>
        <v>4.1771094402673345E-5</v>
      </c>
      <c r="S449" t="s">
        <v>339</v>
      </c>
      <c r="T449">
        <v>55</v>
      </c>
      <c r="U449" t="str">
        <f t="shared" si="13"/>
        <v>Katie McCabe:6</v>
      </c>
    </row>
    <row r="450" spans="1:21" x14ac:dyDescent="0.2">
      <c r="A450" t="s">
        <v>262</v>
      </c>
      <c r="B450" t="s">
        <v>606</v>
      </c>
      <c r="C450" t="s">
        <v>607</v>
      </c>
      <c r="D450" t="s">
        <v>42</v>
      </c>
      <c r="E450" t="s">
        <v>48</v>
      </c>
      <c r="F450">
        <v>18</v>
      </c>
      <c r="G450">
        <v>2002</v>
      </c>
      <c r="H450">
        <v>6</v>
      </c>
      <c r="I450">
        <v>1</v>
      </c>
      <c r="J450">
        <v>122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f t="shared" si="12"/>
        <v>0</v>
      </c>
      <c r="S450" t="s">
        <v>339</v>
      </c>
      <c r="T450">
        <v>26</v>
      </c>
      <c r="U450" t="str">
        <f t="shared" si="13"/>
        <v>Katie Robinson:0</v>
      </c>
    </row>
    <row r="451" spans="1:21" x14ac:dyDescent="0.2">
      <c r="A451" t="s">
        <v>413</v>
      </c>
      <c r="B451" t="s">
        <v>606</v>
      </c>
      <c r="C451" t="s">
        <v>607</v>
      </c>
      <c r="D451" t="s">
        <v>40</v>
      </c>
      <c r="E451" t="s">
        <v>48</v>
      </c>
      <c r="F451">
        <v>22</v>
      </c>
      <c r="G451">
        <v>1999</v>
      </c>
      <c r="H451">
        <v>2</v>
      </c>
      <c r="I451">
        <v>2</v>
      </c>
      <c r="J451">
        <v>180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f t="shared" ref="R451:R514" si="14">K451/J451/90</f>
        <v>0</v>
      </c>
      <c r="S451" t="s">
        <v>339</v>
      </c>
      <c r="T451">
        <v>26</v>
      </c>
      <c r="U451" t="str">
        <f t="shared" ref="U451:U514" si="15">CONCATENATE(A451, ":", L451)</f>
        <v>Katie Startup:0</v>
      </c>
    </row>
    <row r="452" spans="1:21" x14ac:dyDescent="0.2">
      <c r="A452" t="s">
        <v>335</v>
      </c>
      <c r="B452" t="s">
        <v>606</v>
      </c>
      <c r="C452" t="s">
        <v>607</v>
      </c>
      <c r="D452" t="s">
        <v>34</v>
      </c>
      <c r="E452" t="s">
        <v>52</v>
      </c>
      <c r="F452">
        <v>25</v>
      </c>
      <c r="G452">
        <v>1996</v>
      </c>
      <c r="H452">
        <v>22</v>
      </c>
      <c r="I452">
        <v>22</v>
      </c>
      <c r="J452">
        <v>1976</v>
      </c>
      <c r="K452">
        <v>5</v>
      </c>
      <c r="L452">
        <v>5</v>
      </c>
      <c r="M452">
        <v>3</v>
      </c>
      <c r="N452">
        <v>2</v>
      </c>
      <c r="O452">
        <v>2</v>
      </c>
      <c r="P452">
        <v>1</v>
      </c>
      <c r="Q452">
        <v>0</v>
      </c>
      <c r="R452">
        <f t="shared" si="14"/>
        <v>2.8115159694107064E-5</v>
      </c>
      <c r="S452" t="s">
        <v>339</v>
      </c>
      <c r="T452">
        <v>42</v>
      </c>
      <c r="U452" t="str">
        <f t="shared" si="15"/>
        <v>Katie Zelem:5</v>
      </c>
    </row>
    <row r="453" spans="1:21" x14ac:dyDescent="0.2">
      <c r="A453" t="s">
        <v>142</v>
      </c>
      <c r="B453" t="s">
        <v>624</v>
      </c>
      <c r="C453" t="s">
        <v>625</v>
      </c>
      <c r="D453" t="s">
        <v>23</v>
      </c>
      <c r="E453" t="s">
        <v>48</v>
      </c>
      <c r="F453">
        <v>33</v>
      </c>
      <c r="G453">
        <v>1988</v>
      </c>
      <c r="H453">
        <v>18</v>
      </c>
      <c r="I453">
        <v>9</v>
      </c>
      <c r="J453">
        <v>914</v>
      </c>
      <c r="K453">
        <v>3</v>
      </c>
      <c r="L453">
        <v>1</v>
      </c>
      <c r="M453">
        <v>3</v>
      </c>
      <c r="N453">
        <v>0</v>
      </c>
      <c r="O453">
        <v>0</v>
      </c>
      <c r="P453">
        <v>2</v>
      </c>
      <c r="Q453">
        <v>0</v>
      </c>
      <c r="R453">
        <f t="shared" si="14"/>
        <v>3.6469730123997082E-5</v>
      </c>
      <c r="S453" t="s">
        <v>339</v>
      </c>
      <c r="T453">
        <v>26</v>
      </c>
      <c r="U453" t="str">
        <f t="shared" si="15"/>
        <v>Kayleigh Green:1</v>
      </c>
    </row>
    <row r="454" spans="1:21" x14ac:dyDescent="0.2">
      <c r="A454" t="s">
        <v>416</v>
      </c>
      <c r="B454" t="s">
        <v>606</v>
      </c>
      <c r="C454" t="s">
        <v>607</v>
      </c>
      <c r="D454" t="s">
        <v>34</v>
      </c>
      <c r="E454" t="s">
        <v>32</v>
      </c>
      <c r="F454">
        <v>24</v>
      </c>
      <c r="G454">
        <v>1997</v>
      </c>
      <c r="H454">
        <v>18</v>
      </c>
      <c r="I454">
        <v>18</v>
      </c>
      <c r="J454">
        <v>1507</v>
      </c>
      <c r="K454">
        <v>1</v>
      </c>
      <c r="L454">
        <v>3</v>
      </c>
      <c r="M454">
        <v>1</v>
      </c>
      <c r="N454">
        <v>0</v>
      </c>
      <c r="O454">
        <v>0</v>
      </c>
      <c r="P454">
        <v>1</v>
      </c>
      <c r="Q454">
        <v>0</v>
      </c>
      <c r="R454">
        <f t="shared" si="14"/>
        <v>7.3730000737300011E-6</v>
      </c>
      <c r="S454" t="s">
        <v>339</v>
      </c>
      <c r="T454">
        <v>47</v>
      </c>
      <c r="U454" t="str">
        <f t="shared" si="15"/>
        <v>Keira Walsh:3</v>
      </c>
    </row>
    <row r="455" spans="1:21" x14ac:dyDescent="0.2">
      <c r="A455" t="s">
        <v>103</v>
      </c>
      <c r="B455" t="s">
        <v>610</v>
      </c>
      <c r="C455" t="s">
        <v>611</v>
      </c>
      <c r="D455" t="s">
        <v>23</v>
      </c>
      <c r="E455" t="s">
        <v>55</v>
      </c>
      <c r="F455">
        <v>30</v>
      </c>
      <c r="G455">
        <v>1991</v>
      </c>
      <c r="H455">
        <v>20</v>
      </c>
      <c r="I455">
        <v>15</v>
      </c>
      <c r="J455">
        <v>1269</v>
      </c>
      <c r="K455">
        <v>0</v>
      </c>
      <c r="L455">
        <v>2</v>
      </c>
      <c r="M455">
        <v>0</v>
      </c>
      <c r="N455">
        <v>0</v>
      </c>
      <c r="O455">
        <v>0</v>
      </c>
      <c r="P455">
        <v>1</v>
      </c>
      <c r="Q455">
        <v>0</v>
      </c>
      <c r="R455">
        <f t="shared" si="14"/>
        <v>0</v>
      </c>
      <c r="S455" t="s">
        <v>339</v>
      </c>
      <c r="T455">
        <v>20</v>
      </c>
      <c r="U455" t="str">
        <f t="shared" si="15"/>
        <v>Kenza Dali:2</v>
      </c>
    </row>
    <row r="456" spans="1:21" x14ac:dyDescent="0.2">
      <c r="A456" t="s">
        <v>151</v>
      </c>
      <c r="B456" t="s">
        <v>606</v>
      </c>
      <c r="C456" t="s">
        <v>607</v>
      </c>
      <c r="D456" t="s">
        <v>29</v>
      </c>
      <c r="E456" t="s">
        <v>30</v>
      </c>
      <c r="F456">
        <v>30</v>
      </c>
      <c r="G456">
        <v>1990</v>
      </c>
      <c r="H456">
        <v>19</v>
      </c>
      <c r="I456">
        <v>17</v>
      </c>
      <c r="J456">
        <v>1514</v>
      </c>
      <c r="K456">
        <v>1</v>
      </c>
      <c r="L456">
        <v>0</v>
      </c>
      <c r="M456">
        <v>1</v>
      </c>
      <c r="N456">
        <v>0</v>
      </c>
      <c r="O456">
        <v>0</v>
      </c>
      <c r="P456">
        <v>1</v>
      </c>
      <c r="Q456">
        <v>0</v>
      </c>
      <c r="R456">
        <f t="shared" si="14"/>
        <v>7.3389109056216055E-6</v>
      </c>
      <c r="S456" t="s">
        <v>339</v>
      </c>
      <c r="T456">
        <v>32</v>
      </c>
      <c r="U456" t="str">
        <f t="shared" si="15"/>
        <v>Kerys Harrop:0</v>
      </c>
    </row>
    <row r="457" spans="1:21" x14ac:dyDescent="0.2">
      <c r="A457" t="s">
        <v>273</v>
      </c>
      <c r="B457" t="s">
        <v>650</v>
      </c>
      <c r="C457" t="s">
        <v>651</v>
      </c>
      <c r="D457" t="s">
        <v>26</v>
      </c>
      <c r="E457" t="s">
        <v>32</v>
      </c>
      <c r="F457">
        <v>24</v>
      </c>
      <c r="G457">
        <v>1997</v>
      </c>
      <c r="H457">
        <v>17</v>
      </c>
      <c r="I457">
        <v>9</v>
      </c>
      <c r="J457">
        <v>794</v>
      </c>
      <c r="K457">
        <v>9</v>
      </c>
      <c r="L457">
        <v>3</v>
      </c>
      <c r="M457">
        <v>9</v>
      </c>
      <c r="N457">
        <v>0</v>
      </c>
      <c r="O457">
        <v>0</v>
      </c>
      <c r="P457">
        <v>0</v>
      </c>
      <c r="Q457">
        <v>0</v>
      </c>
      <c r="R457">
        <f t="shared" si="14"/>
        <v>1.2594458438287153E-4</v>
      </c>
      <c r="S457" t="s">
        <v>339</v>
      </c>
      <c r="T457">
        <v>47</v>
      </c>
      <c r="U457" t="str">
        <f t="shared" si="15"/>
        <v>Khadija Shaw:3</v>
      </c>
    </row>
    <row r="458" spans="1:21" x14ac:dyDescent="0.2">
      <c r="A458" t="s">
        <v>175</v>
      </c>
      <c r="B458" t="s">
        <v>606</v>
      </c>
      <c r="C458" t="s">
        <v>607</v>
      </c>
      <c r="D458" t="s">
        <v>40</v>
      </c>
      <c r="E458" t="s">
        <v>32</v>
      </c>
      <c r="F458">
        <v>17</v>
      </c>
      <c r="G458">
        <v>2004</v>
      </c>
      <c r="H458">
        <v>3</v>
      </c>
      <c r="I458">
        <v>2</v>
      </c>
      <c r="J458">
        <v>184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f t="shared" si="14"/>
        <v>0</v>
      </c>
      <c r="S458" t="s">
        <v>339</v>
      </c>
      <c r="T458">
        <v>47</v>
      </c>
      <c r="U458" t="str">
        <f t="shared" si="15"/>
        <v>Khiara Keating:0</v>
      </c>
    </row>
    <row r="459" spans="1:21" x14ac:dyDescent="0.2">
      <c r="A459" t="s">
        <v>199</v>
      </c>
      <c r="B459" t="s">
        <v>652</v>
      </c>
      <c r="C459" t="s">
        <v>653</v>
      </c>
      <c r="D459" t="s">
        <v>34</v>
      </c>
      <c r="E459" t="s">
        <v>27</v>
      </c>
      <c r="F459">
        <v>31</v>
      </c>
      <c r="G459">
        <v>1990</v>
      </c>
      <c r="H459">
        <v>22</v>
      </c>
      <c r="I459">
        <v>21</v>
      </c>
      <c r="J459">
        <v>1786</v>
      </c>
      <c r="K459">
        <v>6</v>
      </c>
      <c r="L459">
        <v>0</v>
      </c>
      <c r="M459">
        <v>5</v>
      </c>
      <c r="N459">
        <v>1</v>
      </c>
      <c r="O459">
        <v>1</v>
      </c>
      <c r="P459">
        <v>0</v>
      </c>
      <c r="Q459">
        <v>0</v>
      </c>
      <c r="R459">
        <f t="shared" si="14"/>
        <v>3.7327360955580438E-5</v>
      </c>
      <c r="S459" t="s">
        <v>339</v>
      </c>
      <c r="T459">
        <v>55</v>
      </c>
      <c r="U459" t="str">
        <f t="shared" si="15"/>
        <v>Kim Little:0</v>
      </c>
    </row>
    <row r="460" spans="1:21" x14ac:dyDescent="0.2">
      <c r="A460" t="s">
        <v>198</v>
      </c>
      <c r="B460" t="s">
        <v>606</v>
      </c>
      <c r="C460" t="s">
        <v>607</v>
      </c>
      <c r="D460" t="s">
        <v>40</v>
      </c>
      <c r="E460" t="s">
        <v>46</v>
      </c>
      <c r="F460">
        <v>24</v>
      </c>
      <c r="G460">
        <v>1997</v>
      </c>
      <c r="H460">
        <v>7</v>
      </c>
      <c r="I460">
        <v>7</v>
      </c>
      <c r="J460">
        <v>630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f t="shared" si="14"/>
        <v>0</v>
      </c>
      <c r="S460" t="s">
        <v>339</v>
      </c>
      <c r="T460">
        <v>13</v>
      </c>
      <c r="U460" t="str">
        <f t="shared" si="15"/>
        <v>Kirstie Levell:0</v>
      </c>
    </row>
    <row r="461" spans="1:21" x14ac:dyDescent="0.2">
      <c r="A461" t="s">
        <v>147</v>
      </c>
      <c r="B461" t="s">
        <v>652</v>
      </c>
      <c r="C461" t="s">
        <v>653</v>
      </c>
      <c r="D461" t="s">
        <v>26</v>
      </c>
      <c r="E461" t="s">
        <v>52</v>
      </c>
      <c r="F461">
        <v>23</v>
      </c>
      <c r="G461">
        <v>1998</v>
      </c>
      <c r="H461">
        <v>17</v>
      </c>
      <c r="I461">
        <v>6</v>
      </c>
      <c r="J461">
        <v>731</v>
      </c>
      <c r="K461">
        <v>1</v>
      </c>
      <c r="L461">
        <v>1</v>
      </c>
      <c r="M461">
        <v>1</v>
      </c>
      <c r="N461">
        <v>0</v>
      </c>
      <c r="O461">
        <v>0</v>
      </c>
      <c r="P461">
        <v>1</v>
      </c>
      <c r="Q461">
        <v>0</v>
      </c>
      <c r="R461">
        <f t="shared" si="14"/>
        <v>1.5199878400972791E-5</v>
      </c>
      <c r="S461" t="s">
        <v>339</v>
      </c>
      <c r="T461">
        <v>42</v>
      </c>
      <c r="U461" t="str">
        <f t="shared" si="15"/>
        <v>Kirsty Hanson:1</v>
      </c>
    </row>
    <row r="462" spans="1:21" x14ac:dyDescent="0.2">
      <c r="A462" t="s">
        <v>280</v>
      </c>
      <c r="B462" t="s">
        <v>652</v>
      </c>
      <c r="C462" t="s">
        <v>653</v>
      </c>
      <c r="D462" t="s">
        <v>50</v>
      </c>
      <c r="E462" t="s">
        <v>52</v>
      </c>
      <c r="F462">
        <v>27</v>
      </c>
      <c r="G462">
        <v>1994</v>
      </c>
      <c r="H462">
        <v>3</v>
      </c>
      <c r="I462">
        <v>3</v>
      </c>
      <c r="J462">
        <v>186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f t="shared" si="14"/>
        <v>0</v>
      </c>
      <c r="S462" t="s">
        <v>339</v>
      </c>
      <c r="T462">
        <v>42</v>
      </c>
      <c r="U462" t="str">
        <f t="shared" si="15"/>
        <v>Kirsty Smith:0</v>
      </c>
    </row>
    <row r="463" spans="1:21" x14ac:dyDescent="0.2">
      <c r="A463" t="s">
        <v>139</v>
      </c>
      <c r="B463" t="s">
        <v>606</v>
      </c>
      <c r="C463" t="s">
        <v>607</v>
      </c>
      <c r="D463" t="s">
        <v>42</v>
      </c>
      <c r="E463" t="s">
        <v>30</v>
      </c>
      <c r="F463">
        <v>25</v>
      </c>
      <c r="G463">
        <v>1995</v>
      </c>
      <c r="H463">
        <v>8</v>
      </c>
      <c r="I463">
        <v>7</v>
      </c>
      <c r="J463">
        <v>534</v>
      </c>
      <c r="K463">
        <v>2</v>
      </c>
      <c r="L463">
        <v>0</v>
      </c>
      <c r="M463">
        <v>2</v>
      </c>
      <c r="N463">
        <v>0</v>
      </c>
      <c r="O463">
        <v>0</v>
      </c>
      <c r="P463">
        <v>1</v>
      </c>
      <c r="Q463">
        <v>0</v>
      </c>
      <c r="R463">
        <f t="shared" si="14"/>
        <v>4.1614648356221391E-5</v>
      </c>
      <c r="S463" t="s">
        <v>339</v>
      </c>
      <c r="T463">
        <v>32</v>
      </c>
      <c r="U463" t="str">
        <f t="shared" si="15"/>
        <v>Kit Graham:0</v>
      </c>
    </row>
    <row r="464" spans="1:21" x14ac:dyDescent="0.2">
      <c r="A464" t="s">
        <v>279</v>
      </c>
      <c r="B464" t="s">
        <v>612</v>
      </c>
      <c r="C464" t="s">
        <v>613</v>
      </c>
      <c r="D464" t="s">
        <v>42</v>
      </c>
      <c r="E464" t="s">
        <v>30</v>
      </c>
      <c r="F464">
        <v>30</v>
      </c>
      <c r="G464">
        <v>1991</v>
      </c>
      <c r="H464">
        <v>14</v>
      </c>
      <c r="I464">
        <v>13</v>
      </c>
      <c r="J464">
        <v>916</v>
      </c>
      <c r="K464">
        <v>3</v>
      </c>
      <c r="L464">
        <v>1</v>
      </c>
      <c r="M464">
        <v>2</v>
      </c>
      <c r="N464">
        <v>1</v>
      </c>
      <c r="O464">
        <v>1</v>
      </c>
      <c r="P464">
        <v>3</v>
      </c>
      <c r="Q464">
        <v>0</v>
      </c>
      <c r="R464">
        <f t="shared" si="14"/>
        <v>3.6390101892285295E-5</v>
      </c>
      <c r="S464" t="s">
        <v>339</v>
      </c>
      <c r="T464">
        <v>32</v>
      </c>
      <c r="U464" t="str">
        <f t="shared" si="15"/>
        <v>Kyah Simon:1</v>
      </c>
    </row>
    <row r="465" spans="1:21" x14ac:dyDescent="0.2">
      <c r="A465" t="s">
        <v>395</v>
      </c>
      <c r="B465" t="s">
        <v>606</v>
      </c>
      <c r="C465" t="s">
        <v>607</v>
      </c>
      <c r="D465" t="s">
        <v>248</v>
      </c>
      <c r="E465" t="s">
        <v>46</v>
      </c>
      <c r="F465">
        <v>18</v>
      </c>
      <c r="G465">
        <v>2002</v>
      </c>
      <c r="H465">
        <v>2</v>
      </c>
      <c r="I465">
        <v>1</v>
      </c>
      <c r="J465">
        <v>67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f t="shared" si="14"/>
        <v>0</v>
      </c>
      <c r="S465" t="s">
        <v>339</v>
      </c>
      <c r="T465">
        <v>13</v>
      </c>
      <c r="U465" t="str">
        <f t="shared" si="15"/>
        <v>Lachante Paul:0</v>
      </c>
    </row>
    <row r="466" spans="1:21" x14ac:dyDescent="0.2">
      <c r="A466" t="s">
        <v>62</v>
      </c>
      <c r="B466" t="s">
        <v>606</v>
      </c>
      <c r="C466" t="s">
        <v>607</v>
      </c>
      <c r="D466" t="s">
        <v>34</v>
      </c>
      <c r="E466" t="s">
        <v>37</v>
      </c>
      <c r="F466">
        <v>17</v>
      </c>
      <c r="G466">
        <v>2003</v>
      </c>
      <c r="H466">
        <v>11</v>
      </c>
      <c r="I466">
        <v>7</v>
      </c>
      <c r="J466">
        <v>666</v>
      </c>
      <c r="K466">
        <v>0</v>
      </c>
      <c r="L466">
        <v>1</v>
      </c>
      <c r="M466">
        <v>0</v>
      </c>
      <c r="N466">
        <v>0</v>
      </c>
      <c r="O466">
        <v>0</v>
      </c>
      <c r="P466">
        <v>0</v>
      </c>
      <c r="Q466">
        <v>0</v>
      </c>
      <c r="R466">
        <f t="shared" si="14"/>
        <v>0</v>
      </c>
      <c r="S466" t="s">
        <v>339</v>
      </c>
      <c r="T466">
        <v>21</v>
      </c>
      <c r="U466" t="str">
        <f t="shared" si="15"/>
        <v>Laura Blindkilde:1</v>
      </c>
    </row>
    <row r="467" spans="1:21" x14ac:dyDescent="0.2">
      <c r="A467" t="s">
        <v>96</v>
      </c>
      <c r="B467" t="s">
        <v>606</v>
      </c>
      <c r="C467" t="s">
        <v>607</v>
      </c>
      <c r="D467" t="s">
        <v>23</v>
      </c>
      <c r="E467" t="s">
        <v>32</v>
      </c>
      <c r="F467">
        <v>30</v>
      </c>
      <c r="G467">
        <v>1991</v>
      </c>
      <c r="H467">
        <v>16</v>
      </c>
      <c r="I467">
        <v>6</v>
      </c>
      <c r="J467">
        <v>640</v>
      </c>
      <c r="K467">
        <v>4</v>
      </c>
      <c r="L467">
        <v>1</v>
      </c>
      <c r="M467">
        <v>4</v>
      </c>
      <c r="N467">
        <v>0</v>
      </c>
      <c r="O467">
        <v>0</v>
      </c>
      <c r="P467">
        <v>0</v>
      </c>
      <c r="Q467">
        <v>0</v>
      </c>
      <c r="R467">
        <f t="shared" si="14"/>
        <v>6.9444444444444444E-5</v>
      </c>
      <c r="S467" t="s">
        <v>339</v>
      </c>
      <c r="T467">
        <v>47</v>
      </c>
      <c r="U467" t="str">
        <f t="shared" si="15"/>
        <v>Laura Coombs:1</v>
      </c>
    </row>
    <row r="468" spans="1:21" x14ac:dyDescent="0.2">
      <c r="A468" t="s">
        <v>326</v>
      </c>
      <c r="B468" t="s">
        <v>668</v>
      </c>
      <c r="C468" t="s">
        <v>669</v>
      </c>
      <c r="D468" t="s">
        <v>50</v>
      </c>
      <c r="E468" t="s">
        <v>27</v>
      </c>
      <c r="F468">
        <v>22</v>
      </c>
      <c r="G468">
        <v>1999</v>
      </c>
      <c r="H468">
        <v>8</v>
      </c>
      <c r="I468">
        <v>3</v>
      </c>
      <c r="J468">
        <v>364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1</v>
      </c>
      <c r="Q468">
        <v>0</v>
      </c>
      <c r="R468">
        <f t="shared" si="14"/>
        <v>0</v>
      </c>
      <c r="S468" t="s">
        <v>339</v>
      </c>
      <c r="T468">
        <v>55</v>
      </c>
      <c r="U468" t="str">
        <f t="shared" si="15"/>
        <v>Laura Wienroither:0</v>
      </c>
    </row>
    <row r="469" spans="1:21" x14ac:dyDescent="0.2">
      <c r="A469" t="s">
        <v>154</v>
      </c>
      <c r="B469" t="s">
        <v>606</v>
      </c>
      <c r="C469" t="s">
        <v>607</v>
      </c>
      <c r="D469" t="s">
        <v>26</v>
      </c>
      <c r="E469" t="s">
        <v>32</v>
      </c>
      <c r="F469">
        <v>20</v>
      </c>
      <c r="G469">
        <v>2000</v>
      </c>
      <c r="H469">
        <v>22</v>
      </c>
      <c r="I469">
        <v>20</v>
      </c>
      <c r="J469">
        <v>1733</v>
      </c>
      <c r="K469">
        <v>10</v>
      </c>
      <c r="L469">
        <v>6</v>
      </c>
      <c r="M469">
        <v>10</v>
      </c>
      <c r="N469">
        <v>0</v>
      </c>
      <c r="O469">
        <v>0</v>
      </c>
      <c r="P469">
        <v>1</v>
      </c>
      <c r="Q469">
        <v>0</v>
      </c>
      <c r="R469">
        <f t="shared" si="14"/>
        <v>6.4114893889850611E-5</v>
      </c>
      <c r="S469" t="s">
        <v>339</v>
      </c>
      <c r="T469">
        <v>47</v>
      </c>
      <c r="U469" t="str">
        <f t="shared" si="15"/>
        <v>Lauren Hemp:6</v>
      </c>
    </row>
    <row r="470" spans="1:21" x14ac:dyDescent="0.2">
      <c r="A470" t="s">
        <v>170</v>
      </c>
      <c r="B470" t="s">
        <v>606</v>
      </c>
      <c r="C470" t="s">
        <v>607</v>
      </c>
      <c r="D470" t="s">
        <v>42</v>
      </c>
      <c r="E470" t="s">
        <v>20</v>
      </c>
      <c r="F470">
        <v>19</v>
      </c>
      <c r="G470">
        <v>2001</v>
      </c>
      <c r="H470">
        <v>6</v>
      </c>
      <c r="I470">
        <v>0</v>
      </c>
      <c r="J470">
        <v>113</v>
      </c>
      <c r="K470">
        <v>1</v>
      </c>
      <c r="L470">
        <v>0</v>
      </c>
      <c r="M470">
        <v>1</v>
      </c>
      <c r="N470">
        <v>0</v>
      </c>
      <c r="O470">
        <v>0</v>
      </c>
      <c r="P470">
        <v>0</v>
      </c>
      <c r="Q470">
        <v>0</v>
      </c>
      <c r="R470">
        <f t="shared" si="14"/>
        <v>9.8328416912487712E-5</v>
      </c>
      <c r="S470" t="s">
        <v>339</v>
      </c>
      <c r="T470">
        <v>56</v>
      </c>
      <c r="U470" t="str">
        <f t="shared" si="15"/>
        <v>Lauren James:0</v>
      </c>
    </row>
    <row r="471" spans="1:21" x14ac:dyDescent="0.2">
      <c r="A471" t="s">
        <v>129</v>
      </c>
      <c r="B471" t="s">
        <v>606</v>
      </c>
      <c r="C471" t="s">
        <v>607</v>
      </c>
      <c r="D471" t="s">
        <v>26</v>
      </c>
      <c r="E471" t="s">
        <v>52</v>
      </c>
      <c r="F471">
        <v>27</v>
      </c>
      <c r="G471">
        <v>1994</v>
      </c>
      <c r="H471">
        <v>21</v>
      </c>
      <c r="I471">
        <v>20</v>
      </c>
      <c r="J471">
        <v>1697</v>
      </c>
      <c r="K471">
        <v>8</v>
      </c>
      <c r="L471">
        <v>3</v>
      </c>
      <c r="M471">
        <v>8</v>
      </c>
      <c r="N471">
        <v>0</v>
      </c>
      <c r="O471">
        <v>0</v>
      </c>
      <c r="P471">
        <v>0</v>
      </c>
      <c r="Q471">
        <v>0</v>
      </c>
      <c r="R471">
        <f t="shared" si="14"/>
        <v>5.2380017023505533E-5</v>
      </c>
      <c r="S471" t="s">
        <v>339</v>
      </c>
      <c r="T471">
        <v>42</v>
      </c>
      <c r="U471" t="str">
        <f t="shared" si="15"/>
        <v>Leah Galton:3</v>
      </c>
    </row>
    <row r="472" spans="1:21" x14ac:dyDescent="0.2">
      <c r="A472" t="s">
        <v>330</v>
      </c>
      <c r="B472" t="s">
        <v>606</v>
      </c>
      <c r="C472" t="s">
        <v>607</v>
      </c>
      <c r="D472" t="s">
        <v>50</v>
      </c>
      <c r="E472" t="s">
        <v>27</v>
      </c>
      <c r="F472">
        <v>24</v>
      </c>
      <c r="G472">
        <v>1997</v>
      </c>
      <c r="H472">
        <v>18</v>
      </c>
      <c r="I472">
        <v>17</v>
      </c>
      <c r="J472">
        <v>1452</v>
      </c>
      <c r="K472">
        <v>2</v>
      </c>
      <c r="L472">
        <v>3</v>
      </c>
      <c r="M472">
        <v>2</v>
      </c>
      <c r="N472">
        <v>0</v>
      </c>
      <c r="O472">
        <v>0</v>
      </c>
      <c r="P472">
        <v>1</v>
      </c>
      <c r="Q472">
        <v>0</v>
      </c>
      <c r="R472">
        <f t="shared" si="14"/>
        <v>1.5304560759106214E-5</v>
      </c>
      <c r="S472" t="s">
        <v>339</v>
      </c>
      <c r="T472">
        <v>55</v>
      </c>
      <c r="U472" t="str">
        <f t="shared" si="15"/>
        <v>Leah Williamson:3</v>
      </c>
    </row>
    <row r="473" spans="1:21" x14ac:dyDescent="0.2">
      <c r="A473" t="s">
        <v>132</v>
      </c>
      <c r="B473" t="s">
        <v>640</v>
      </c>
      <c r="C473" t="s">
        <v>641</v>
      </c>
      <c r="D473" t="s">
        <v>42</v>
      </c>
      <c r="E473" t="s">
        <v>48</v>
      </c>
      <c r="F473">
        <v>27</v>
      </c>
      <c r="G473">
        <v>1994</v>
      </c>
      <c r="H473">
        <v>16</v>
      </c>
      <c r="I473">
        <v>13</v>
      </c>
      <c r="J473">
        <v>1128</v>
      </c>
      <c r="K473">
        <v>2</v>
      </c>
      <c r="L473">
        <v>1</v>
      </c>
      <c r="M473">
        <v>2</v>
      </c>
      <c r="N473">
        <v>0</v>
      </c>
      <c r="O473">
        <v>0</v>
      </c>
      <c r="P473">
        <v>0</v>
      </c>
      <c r="Q473">
        <v>0</v>
      </c>
      <c r="R473">
        <f t="shared" si="14"/>
        <v>1.970055161544523E-5</v>
      </c>
      <c r="S473" t="s">
        <v>339</v>
      </c>
      <c r="T473">
        <v>26</v>
      </c>
      <c r="U473" t="str">
        <f t="shared" si="15"/>
        <v>Lee Geum-min:1</v>
      </c>
    </row>
    <row r="474" spans="1:21" x14ac:dyDescent="0.2">
      <c r="A474" t="s">
        <v>207</v>
      </c>
      <c r="B474" t="s">
        <v>630</v>
      </c>
      <c r="C474" t="s">
        <v>631</v>
      </c>
      <c r="D474" t="s">
        <v>29</v>
      </c>
      <c r="E474" t="s">
        <v>55</v>
      </c>
      <c r="F474">
        <v>28</v>
      </c>
      <c r="G474">
        <v>1992</v>
      </c>
      <c r="H474">
        <v>15</v>
      </c>
      <c r="I474">
        <v>13</v>
      </c>
      <c r="J474">
        <v>1090</v>
      </c>
      <c r="K474">
        <v>1</v>
      </c>
      <c r="L474">
        <v>0</v>
      </c>
      <c r="M474">
        <v>1</v>
      </c>
      <c r="N474">
        <v>0</v>
      </c>
      <c r="O474">
        <v>0</v>
      </c>
      <c r="P474">
        <v>0</v>
      </c>
      <c r="Q474">
        <v>0</v>
      </c>
      <c r="R474">
        <f t="shared" si="14"/>
        <v>1.0193679918450562E-5</v>
      </c>
      <c r="S474" t="s">
        <v>339</v>
      </c>
      <c r="T474">
        <v>20</v>
      </c>
      <c r="U474" t="str">
        <f t="shared" si="15"/>
        <v>Leonie Maier:0</v>
      </c>
    </row>
    <row r="475" spans="1:21" x14ac:dyDescent="0.2">
      <c r="A475" t="s">
        <v>320</v>
      </c>
      <c r="B475" t="s">
        <v>614</v>
      </c>
      <c r="C475" t="s">
        <v>615</v>
      </c>
      <c r="D475" t="s">
        <v>34</v>
      </c>
      <c r="E475" t="s">
        <v>27</v>
      </c>
      <c r="F475">
        <v>28</v>
      </c>
      <c r="G475">
        <v>1993</v>
      </c>
      <c r="H475">
        <v>20</v>
      </c>
      <c r="I475">
        <v>18</v>
      </c>
      <c r="J475">
        <v>1584</v>
      </c>
      <c r="K475">
        <v>0</v>
      </c>
      <c r="L475">
        <v>3</v>
      </c>
      <c r="M475">
        <v>0</v>
      </c>
      <c r="N475">
        <v>0</v>
      </c>
      <c r="O475">
        <v>0</v>
      </c>
      <c r="P475">
        <v>2</v>
      </c>
      <c r="Q475">
        <v>0</v>
      </c>
      <c r="R475">
        <f t="shared" si="14"/>
        <v>0</v>
      </c>
      <c r="S475" t="s">
        <v>339</v>
      </c>
      <c r="T475">
        <v>55</v>
      </c>
      <c r="U475" t="str">
        <f t="shared" si="15"/>
        <v>Lia Wälti:3</v>
      </c>
    </row>
    <row r="476" spans="1:21" x14ac:dyDescent="0.2">
      <c r="A476" t="s">
        <v>47</v>
      </c>
      <c r="B476" t="s">
        <v>606</v>
      </c>
      <c r="C476" t="s">
        <v>607</v>
      </c>
      <c r="D476" t="s">
        <v>34</v>
      </c>
      <c r="E476" t="s">
        <v>48</v>
      </c>
      <c r="F476">
        <v>18</v>
      </c>
      <c r="G476">
        <v>2003</v>
      </c>
      <c r="H476">
        <v>3</v>
      </c>
      <c r="I476">
        <v>1</v>
      </c>
      <c r="J476">
        <v>111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f t="shared" si="14"/>
        <v>0</v>
      </c>
      <c r="S476" t="s">
        <v>339</v>
      </c>
      <c r="T476">
        <v>26</v>
      </c>
      <c r="U476" t="str">
        <f t="shared" si="15"/>
        <v>Libby Bance:0</v>
      </c>
    </row>
    <row r="477" spans="1:21" x14ac:dyDescent="0.2">
      <c r="A477" t="s">
        <v>410</v>
      </c>
      <c r="B477" t="s">
        <v>606</v>
      </c>
      <c r="C477" t="s">
        <v>607</v>
      </c>
      <c r="D477" t="s">
        <v>248</v>
      </c>
      <c r="E477" t="s">
        <v>360</v>
      </c>
      <c r="F477">
        <v>19</v>
      </c>
      <c r="G477">
        <v>2001</v>
      </c>
      <c r="H477">
        <v>20</v>
      </c>
      <c r="I477">
        <v>14</v>
      </c>
      <c r="J477">
        <v>1230</v>
      </c>
      <c r="K477">
        <v>2</v>
      </c>
      <c r="L477">
        <v>1</v>
      </c>
      <c r="M477">
        <v>2</v>
      </c>
      <c r="N477">
        <v>0</v>
      </c>
      <c r="O477">
        <v>0</v>
      </c>
      <c r="P477">
        <v>2</v>
      </c>
      <c r="Q477">
        <v>0</v>
      </c>
      <c r="R477">
        <f t="shared" si="14"/>
        <v>1.8066847335140017E-5</v>
      </c>
      <c r="S477" t="s">
        <v>339</v>
      </c>
      <c r="T477">
        <v>11</v>
      </c>
      <c r="U477" t="str">
        <f t="shared" si="15"/>
        <v>Libby Smith:1</v>
      </c>
    </row>
    <row r="478" spans="1:21" x14ac:dyDescent="0.2">
      <c r="A478" t="s">
        <v>331</v>
      </c>
      <c r="B478" t="s">
        <v>624</v>
      </c>
      <c r="C478" t="s">
        <v>625</v>
      </c>
      <c r="D478" t="s">
        <v>29</v>
      </c>
      <c r="E478" t="s">
        <v>35</v>
      </c>
      <c r="F478">
        <v>20</v>
      </c>
      <c r="G478">
        <v>2000</v>
      </c>
      <c r="H478">
        <v>21</v>
      </c>
      <c r="I478">
        <v>20</v>
      </c>
      <c r="J478">
        <v>1756</v>
      </c>
      <c r="K478">
        <v>0</v>
      </c>
      <c r="L478">
        <v>1</v>
      </c>
      <c r="M478">
        <v>0</v>
      </c>
      <c r="N478">
        <v>0</v>
      </c>
      <c r="O478">
        <v>0</v>
      </c>
      <c r="P478">
        <v>3</v>
      </c>
      <c r="Q478">
        <v>0</v>
      </c>
      <c r="R478">
        <f t="shared" si="14"/>
        <v>0</v>
      </c>
      <c r="S478" t="s">
        <v>339</v>
      </c>
      <c r="T478">
        <v>25</v>
      </c>
      <c r="U478" t="str">
        <f t="shared" si="15"/>
        <v>Lily Woodham:1</v>
      </c>
    </row>
    <row r="479" spans="1:21" x14ac:dyDescent="0.2">
      <c r="A479" t="s">
        <v>114</v>
      </c>
      <c r="B479" t="s">
        <v>652</v>
      </c>
      <c r="C479" t="s">
        <v>653</v>
      </c>
      <c r="D479" t="s">
        <v>248</v>
      </c>
      <c r="E479" t="s">
        <v>24</v>
      </c>
      <c r="F479">
        <v>29</v>
      </c>
      <c r="G479">
        <v>1992</v>
      </c>
      <c r="H479">
        <v>16</v>
      </c>
      <c r="I479">
        <v>12</v>
      </c>
      <c r="J479">
        <v>1048</v>
      </c>
      <c r="K479">
        <v>1</v>
      </c>
      <c r="L479">
        <v>3</v>
      </c>
      <c r="M479">
        <v>1</v>
      </c>
      <c r="N479">
        <v>0</v>
      </c>
      <c r="O479">
        <v>0</v>
      </c>
      <c r="P479">
        <v>0</v>
      </c>
      <c r="Q479">
        <v>0</v>
      </c>
      <c r="R479">
        <f t="shared" si="14"/>
        <v>1.0602205258693808E-5</v>
      </c>
      <c r="S479" t="s">
        <v>339</v>
      </c>
      <c r="T479">
        <v>27</v>
      </c>
      <c r="U479" t="str">
        <f t="shared" si="15"/>
        <v>Lisa Evans:3</v>
      </c>
    </row>
    <row r="480" spans="1:21" x14ac:dyDescent="0.2">
      <c r="A480" t="s">
        <v>401</v>
      </c>
      <c r="B480" t="s">
        <v>652</v>
      </c>
      <c r="C480" t="s">
        <v>653</v>
      </c>
      <c r="D480" t="s">
        <v>94</v>
      </c>
      <c r="E480" t="s">
        <v>360</v>
      </c>
      <c r="F480">
        <v>29</v>
      </c>
      <c r="G480">
        <v>1992</v>
      </c>
      <c r="H480">
        <v>16</v>
      </c>
      <c r="I480">
        <v>16</v>
      </c>
      <c r="J480">
        <v>1177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6</v>
      </c>
      <c r="Q480">
        <v>0</v>
      </c>
      <c r="R480">
        <f t="shared" si="14"/>
        <v>0</v>
      </c>
      <c r="S480" t="s">
        <v>339</v>
      </c>
      <c r="T480">
        <v>11</v>
      </c>
      <c r="U480" t="str">
        <f t="shared" si="15"/>
        <v>Lisa Robertson:0</v>
      </c>
    </row>
    <row r="481" spans="1:21" x14ac:dyDescent="0.2">
      <c r="A481" t="s">
        <v>386</v>
      </c>
      <c r="B481" t="s">
        <v>606</v>
      </c>
      <c r="C481" t="s">
        <v>607</v>
      </c>
      <c r="D481" t="s">
        <v>50</v>
      </c>
      <c r="E481" t="s">
        <v>24</v>
      </c>
      <c r="F481">
        <v>22</v>
      </c>
      <c r="G481">
        <v>1999</v>
      </c>
      <c r="H481">
        <v>10</v>
      </c>
      <c r="I481">
        <v>0</v>
      </c>
      <c r="J481">
        <v>115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f t="shared" si="14"/>
        <v>0</v>
      </c>
      <c r="S481" t="s">
        <v>339</v>
      </c>
      <c r="T481">
        <v>27</v>
      </c>
      <c r="U481" t="str">
        <f t="shared" si="15"/>
        <v>Lois Joel:0</v>
      </c>
    </row>
    <row r="482" spans="1:21" x14ac:dyDescent="0.2">
      <c r="A482" t="s">
        <v>332</v>
      </c>
      <c r="B482" t="s">
        <v>606</v>
      </c>
      <c r="C482" t="s">
        <v>607</v>
      </c>
      <c r="D482" t="s">
        <v>50</v>
      </c>
      <c r="E482" t="s">
        <v>27</v>
      </c>
      <c r="F482">
        <v>22</v>
      </c>
      <c r="G482">
        <v>1999</v>
      </c>
      <c r="H482">
        <v>17</v>
      </c>
      <c r="I482">
        <v>13</v>
      </c>
      <c r="J482">
        <v>1210</v>
      </c>
      <c r="K482">
        <v>2</v>
      </c>
      <c r="L482">
        <v>2</v>
      </c>
      <c r="M482">
        <v>2</v>
      </c>
      <c r="N482">
        <v>0</v>
      </c>
      <c r="O482">
        <v>0</v>
      </c>
      <c r="P482">
        <v>1</v>
      </c>
      <c r="Q482">
        <v>0</v>
      </c>
      <c r="R482">
        <f t="shared" si="14"/>
        <v>1.8365472910927457E-5</v>
      </c>
      <c r="S482" t="s">
        <v>339</v>
      </c>
      <c r="T482">
        <v>55</v>
      </c>
      <c r="U482" t="str">
        <f t="shared" si="15"/>
        <v>Lotte Wubben-Moy:2</v>
      </c>
    </row>
    <row r="483" spans="1:21" x14ac:dyDescent="0.2">
      <c r="A483" t="s">
        <v>421</v>
      </c>
      <c r="D483" t="s">
        <v>42</v>
      </c>
      <c r="E483" t="s">
        <v>360</v>
      </c>
      <c r="H483">
        <v>3</v>
      </c>
      <c r="I483">
        <v>0</v>
      </c>
      <c r="J483">
        <v>28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f t="shared" si="14"/>
        <v>0</v>
      </c>
      <c r="S483" t="s">
        <v>339</v>
      </c>
      <c r="T483">
        <v>11</v>
      </c>
      <c r="U483" t="str">
        <f t="shared" si="15"/>
        <v>Louanne Worsley:0</v>
      </c>
    </row>
    <row r="484" spans="1:21" x14ac:dyDescent="0.2">
      <c r="A484" t="s">
        <v>398</v>
      </c>
      <c r="B484" t="s">
        <v>632</v>
      </c>
      <c r="C484" t="s">
        <v>633</v>
      </c>
      <c r="D484" t="s">
        <v>50</v>
      </c>
      <c r="E484" t="s">
        <v>360</v>
      </c>
      <c r="F484">
        <v>31</v>
      </c>
      <c r="G484">
        <v>1990</v>
      </c>
      <c r="H484">
        <v>22</v>
      </c>
      <c r="I484">
        <v>22</v>
      </c>
      <c r="J484">
        <v>1980</v>
      </c>
      <c r="K484">
        <v>5</v>
      </c>
      <c r="L484">
        <v>0</v>
      </c>
      <c r="M484">
        <v>5</v>
      </c>
      <c r="N484">
        <v>0</v>
      </c>
      <c r="O484">
        <v>0</v>
      </c>
      <c r="P484">
        <v>0</v>
      </c>
      <c r="Q484">
        <v>0</v>
      </c>
      <c r="R484">
        <f t="shared" si="14"/>
        <v>2.8058361391694729E-5</v>
      </c>
      <c r="S484" t="s">
        <v>339</v>
      </c>
      <c r="T484">
        <v>11</v>
      </c>
      <c r="U484" t="str">
        <f t="shared" si="15"/>
        <v>Louise Quinn:0</v>
      </c>
    </row>
    <row r="485" spans="1:21" x14ac:dyDescent="0.2">
      <c r="A485" t="s">
        <v>352</v>
      </c>
      <c r="B485" t="s">
        <v>606</v>
      </c>
      <c r="C485" t="s">
        <v>607</v>
      </c>
      <c r="D485" t="s">
        <v>50</v>
      </c>
      <c r="E485" t="s">
        <v>32</v>
      </c>
      <c r="F485">
        <v>29</v>
      </c>
      <c r="G485">
        <v>1991</v>
      </c>
      <c r="H485">
        <v>13</v>
      </c>
      <c r="I485">
        <v>13</v>
      </c>
      <c r="J485">
        <v>1148</v>
      </c>
      <c r="K485">
        <v>0</v>
      </c>
      <c r="L485">
        <v>2</v>
      </c>
      <c r="M485">
        <v>0</v>
      </c>
      <c r="N485">
        <v>0</v>
      </c>
      <c r="O485">
        <v>0</v>
      </c>
      <c r="P485">
        <v>0</v>
      </c>
      <c r="Q485">
        <v>0</v>
      </c>
      <c r="R485">
        <f t="shared" si="14"/>
        <v>0</v>
      </c>
      <c r="S485" t="s">
        <v>339</v>
      </c>
      <c r="T485">
        <v>47</v>
      </c>
      <c r="U485" t="str">
        <f t="shared" si="15"/>
        <v>Lucy Bronze:2</v>
      </c>
    </row>
    <row r="486" spans="1:21" x14ac:dyDescent="0.2">
      <c r="A486" t="s">
        <v>140</v>
      </c>
      <c r="B486" t="s">
        <v>652</v>
      </c>
      <c r="C486" t="s">
        <v>653</v>
      </c>
      <c r="D486" t="s">
        <v>34</v>
      </c>
      <c r="E486" t="s">
        <v>55</v>
      </c>
      <c r="F486">
        <v>24</v>
      </c>
      <c r="G486">
        <v>1996</v>
      </c>
      <c r="H486">
        <v>16</v>
      </c>
      <c r="I486">
        <v>10</v>
      </c>
      <c r="J486">
        <v>902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2</v>
      </c>
      <c r="Q486">
        <v>0</v>
      </c>
      <c r="R486">
        <f t="shared" si="14"/>
        <v>0</v>
      </c>
      <c r="S486" t="s">
        <v>339</v>
      </c>
      <c r="T486">
        <v>20</v>
      </c>
      <c r="U486" t="str">
        <f t="shared" si="15"/>
        <v>Lucy Graham:0</v>
      </c>
    </row>
    <row r="487" spans="1:21" x14ac:dyDescent="0.2">
      <c r="A487" t="s">
        <v>387</v>
      </c>
      <c r="D487" t="s">
        <v>40</v>
      </c>
      <c r="E487" t="s">
        <v>360</v>
      </c>
      <c r="H487">
        <v>1</v>
      </c>
      <c r="I487">
        <v>0</v>
      </c>
      <c r="J487">
        <v>62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f t="shared" si="14"/>
        <v>0</v>
      </c>
      <c r="S487" t="s">
        <v>339</v>
      </c>
      <c r="T487">
        <v>11</v>
      </c>
      <c r="U487" t="str">
        <f t="shared" si="15"/>
        <v>Lucy Jones:0</v>
      </c>
    </row>
    <row r="488" spans="1:21" x14ac:dyDescent="0.2">
      <c r="A488" t="s">
        <v>237</v>
      </c>
      <c r="B488" t="s">
        <v>606</v>
      </c>
      <c r="C488" t="s">
        <v>607</v>
      </c>
      <c r="D488" t="s">
        <v>29</v>
      </c>
      <c r="E488" t="s">
        <v>24</v>
      </c>
      <c r="F488">
        <v>22</v>
      </c>
      <c r="G488">
        <v>1998</v>
      </c>
      <c r="H488">
        <v>14</v>
      </c>
      <c r="I488">
        <v>8</v>
      </c>
      <c r="J488">
        <v>842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1</v>
      </c>
      <c r="Q488">
        <v>0</v>
      </c>
      <c r="R488">
        <f t="shared" si="14"/>
        <v>0</v>
      </c>
      <c r="S488" t="s">
        <v>339</v>
      </c>
      <c r="T488">
        <v>27</v>
      </c>
      <c r="U488" t="str">
        <f t="shared" si="15"/>
        <v>Lucy Parker:0</v>
      </c>
    </row>
    <row r="489" spans="1:21" x14ac:dyDescent="0.2">
      <c r="A489" t="s">
        <v>399</v>
      </c>
      <c r="B489" t="s">
        <v>632</v>
      </c>
      <c r="C489" t="s">
        <v>633</v>
      </c>
      <c r="D489" t="s">
        <v>42</v>
      </c>
      <c r="E489" t="s">
        <v>360</v>
      </c>
      <c r="F489">
        <v>27</v>
      </c>
      <c r="G489">
        <v>1993</v>
      </c>
      <c r="H489">
        <v>22</v>
      </c>
      <c r="I489">
        <v>19</v>
      </c>
      <c r="J489">
        <v>1668</v>
      </c>
      <c r="K489">
        <v>1</v>
      </c>
      <c r="L489">
        <v>3</v>
      </c>
      <c r="M489">
        <v>1</v>
      </c>
      <c r="N489">
        <v>0</v>
      </c>
      <c r="O489">
        <v>0</v>
      </c>
      <c r="P489">
        <v>1</v>
      </c>
      <c r="Q489">
        <v>0</v>
      </c>
      <c r="R489">
        <f t="shared" si="14"/>
        <v>6.6613375965893948E-6</v>
      </c>
      <c r="S489" t="s">
        <v>339</v>
      </c>
      <c r="T489">
        <v>11</v>
      </c>
      <c r="U489" t="str">
        <f t="shared" si="15"/>
        <v>Lucy Quinn:3</v>
      </c>
    </row>
    <row r="490" spans="1:21" x14ac:dyDescent="0.2">
      <c r="A490" t="s">
        <v>287</v>
      </c>
      <c r="B490" t="s">
        <v>606</v>
      </c>
      <c r="C490" t="s">
        <v>607</v>
      </c>
      <c r="D490" t="s">
        <v>23</v>
      </c>
      <c r="E490" t="s">
        <v>52</v>
      </c>
      <c r="F490">
        <v>28</v>
      </c>
      <c r="G490">
        <v>1992</v>
      </c>
      <c r="H490">
        <v>12</v>
      </c>
      <c r="I490">
        <v>7</v>
      </c>
      <c r="J490">
        <v>570</v>
      </c>
      <c r="K490">
        <v>2</v>
      </c>
      <c r="L490">
        <v>0</v>
      </c>
      <c r="M490">
        <v>2</v>
      </c>
      <c r="N490">
        <v>0</v>
      </c>
      <c r="O490">
        <v>0</v>
      </c>
      <c r="P490">
        <v>2</v>
      </c>
      <c r="Q490">
        <v>0</v>
      </c>
      <c r="R490">
        <f t="shared" si="14"/>
        <v>3.8986354775828462E-5</v>
      </c>
      <c r="S490" t="s">
        <v>339</v>
      </c>
      <c r="T490">
        <v>42</v>
      </c>
      <c r="U490" t="str">
        <f t="shared" si="15"/>
        <v>Lucy Staniforth:0</v>
      </c>
    </row>
    <row r="491" spans="1:21" x14ac:dyDescent="0.2">
      <c r="A491" t="s">
        <v>419</v>
      </c>
      <c r="B491" t="s">
        <v>606</v>
      </c>
      <c r="C491" t="s">
        <v>607</v>
      </c>
      <c r="D491" t="s">
        <v>23</v>
      </c>
      <c r="E491" t="s">
        <v>360</v>
      </c>
      <c r="F491">
        <v>25</v>
      </c>
      <c r="G491">
        <v>1995</v>
      </c>
      <c r="H491">
        <v>11</v>
      </c>
      <c r="I491">
        <v>4</v>
      </c>
      <c r="J491">
        <v>532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f t="shared" si="14"/>
        <v>0</v>
      </c>
      <c r="S491" t="s">
        <v>339</v>
      </c>
      <c r="T491">
        <v>11</v>
      </c>
      <c r="U491" t="str">
        <f t="shared" si="15"/>
        <v>Lucy Whipp:0</v>
      </c>
    </row>
    <row r="492" spans="1:21" x14ac:dyDescent="0.2">
      <c r="A492" t="s">
        <v>327</v>
      </c>
      <c r="B492" t="s">
        <v>612</v>
      </c>
      <c r="C492" t="s">
        <v>613</v>
      </c>
      <c r="D492" t="s">
        <v>40</v>
      </c>
      <c r="E492" t="s">
        <v>27</v>
      </c>
      <c r="F492">
        <v>33</v>
      </c>
      <c r="G492">
        <v>1988</v>
      </c>
      <c r="H492">
        <v>2</v>
      </c>
      <c r="I492">
        <v>2</v>
      </c>
      <c r="J492">
        <v>180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f t="shared" si="14"/>
        <v>0</v>
      </c>
      <c r="S492" t="s">
        <v>339</v>
      </c>
      <c r="T492">
        <v>55</v>
      </c>
      <c r="U492" t="str">
        <f t="shared" si="15"/>
        <v>Lydia Williams:0</v>
      </c>
    </row>
    <row r="493" spans="1:21" x14ac:dyDescent="0.2">
      <c r="A493" t="s">
        <v>39</v>
      </c>
      <c r="B493" t="s">
        <v>612</v>
      </c>
      <c r="C493" t="s">
        <v>613</v>
      </c>
      <c r="D493" t="s">
        <v>40</v>
      </c>
      <c r="E493" t="s">
        <v>24</v>
      </c>
      <c r="F493">
        <v>27</v>
      </c>
      <c r="G493">
        <v>1994</v>
      </c>
      <c r="H493">
        <v>18</v>
      </c>
      <c r="I493">
        <v>18</v>
      </c>
      <c r="J493">
        <v>1620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f t="shared" si="14"/>
        <v>0</v>
      </c>
      <c r="S493" t="s">
        <v>339</v>
      </c>
      <c r="T493">
        <v>27</v>
      </c>
      <c r="U493" t="str">
        <f t="shared" si="15"/>
        <v>Mackenzie Arnold:0</v>
      </c>
    </row>
    <row r="494" spans="1:21" x14ac:dyDescent="0.2">
      <c r="A494" t="s">
        <v>281</v>
      </c>
      <c r="D494" t="s">
        <v>23</v>
      </c>
      <c r="E494" t="s">
        <v>46</v>
      </c>
      <c r="H494">
        <v>3</v>
      </c>
      <c r="I494">
        <v>0</v>
      </c>
      <c r="J494">
        <v>110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f t="shared" si="14"/>
        <v>0</v>
      </c>
      <c r="S494" t="s">
        <v>339</v>
      </c>
      <c r="T494">
        <v>13</v>
      </c>
      <c r="U494" t="str">
        <f t="shared" si="15"/>
        <v>Mackenzie Smith:0</v>
      </c>
    </row>
    <row r="495" spans="1:21" x14ac:dyDescent="0.2">
      <c r="A495" t="s">
        <v>357</v>
      </c>
      <c r="B495" t="s">
        <v>610</v>
      </c>
      <c r="C495" t="s">
        <v>611</v>
      </c>
      <c r="D495" t="s">
        <v>34</v>
      </c>
      <c r="E495" t="s">
        <v>30</v>
      </c>
      <c r="F495">
        <v>28</v>
      </c>
      <c r="G495">
        <v>1992</v>
      </c>
      <c r="H495">
        <v>21</v>
      </c>
      <c r="I495">
        <v>21</v>
      </c>
      <c r="J495">
        <v>1735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7</v>
      </c>
      <c r="Q495">
        <v>0</v>
      </c>
      <c r="R495">
        <f t="shared" si="14"/>
        <v>0</v>
      </c>
      <c r="S495" t="s">
        <v>339</v>
      </c>
      <c r="T495">
        <v>32</v>
      </c>
      <c r="U495" t="str">
        <f t="shared" si="15"/>
        <v>Maéva Clemaron:0</v>
      </c>
    </row>
    <row r="496" spans="1:21" x14ac:dyDescent="0.2">
      <c r="A496" t="s">
        <v>112</v>
      </c>
      <c r="B496" t="s">
        <v>658</v>
      </c>
      <c r="C496" t="s">
        <v>659</v>
      </c>
      <c r="D496" t="s">
        <v>50</v>
      </c>
      <c r="E496" t="s">
        <v>20</v>
      </c>
      <c r="F496">
        <v>27</v>
      </c>
      <c r="G496">
        <v>1993</v>
      </c>
      <c r="H496">
        <v>16</v>
      </c>
      <c r="I496">
        <v>13</v>
      </c>
      <c r="J496">
        <v>1256</v>
      </c>
      <c r="K496">
        <v>1</v>
      </c>
      <c r="L496">
        <v>0</v>
      </c>
      <c r="M496">
        <v>1</v>
      </c>
      <c r="N496">
        <v>0</v>
      </c>
      <c r="O496">
        <v>0</v>
      </c>
      <c r="P496">
        <v>1</v>
      </c>
      <c r="Q496">
        <v>0</v>
      </c>
      <c r="R496">
        <f t="shared" si="14"/>
        <v>8.8464260438782735E-6</v>
      </c>
      <c r="S496" t="s">
        <v>339</v>
      </c>
      <c r="T496">
        <v>56</v>
      </c>
      <c r="U496" t="str">
        <f t="shared" si="15"/>
        <v>Magdalena Eriksson:0</v>
      </c>
    </row>
    <row r="497" spans="1:21" x14ac:dyDescent="0.2">
      <c r="A497" t="s">
        <v>296</v>
      </c>
      <c r="B497" t="s">
        <v>606</v>
      </c>
      <c r="C497" t="s">
        <v>607</v>
      </c>
      <c r="D497" t="s">
        <v>26</v>
      </c>
      <c r="E497" t="s">
        <v>48</v>
      </c>
      <c r="F497">
        <v>18</v>
      </c>
      <c r="G497">
        <v>2003</v>
      </c>
      <c r="H497">
        <v>16</v>
      </c>
      <c r="I497">
        <v>1</v>
      </c>
      <c r="J497">
        <v>373</v>
      </c>
      <c r="K497">
        <v>1</v>
      </c>
      <c r="L497">
        <v>2</v>
      </c>
      <c r="M497">
        <v>1</v>
      </c>
      <c r="N497">
        <v>0</v>
      </c>
      <c r="O497">
        <v>0</v>
      </c>
      <c r="P497">
        <v>2</v>
      </c>
      <c r="Q497">
        <v>0</v>
      </c>
      <c r="R497">
        <f t="shared" si="14"/>
        <v>2.9788501638367591E-5</v>
      </c>
      <c r="S497" t="s">
        <v>339</v>
      </c>
      <c r="T497">
        <v>26</v>
      </c>
      <c r="U497" t="str">
        <f t="shared" si="15"/>
        <v>Maisie Symonds:2</v>
      </c>
    </row>
    <row r="498" spans="1:21" x14ac:dyDescent="0.2">
      <c r="A498" t="s">
        <v>168</v>
      </c>
      <c r="B498" t="s">
        <v>660</v>
      </c>
      <c r="C498" t="s">
        <v>661</v>
      </c>
      <c r="D498" t="s">
        <v>23</v>
      </c>
      <c r="E498" t="s">
        <v>27</v>
      </c>
      <c r="F498">
        <v>28</v>
      </c>
      <c r="G498">
        <v>1993</v>
      </c>
      <c r="H498">
        <v>11</v>
      </c>
      <c r="I498">
        <v>5</v>
      </c>
      <c r="J498">
        <v>491</v>
      </c>
      <c r="K498">
        <v>1</v>
      </c>
      <c r="L498">
        <v>1</v>
      </c>
      <c r="M498">
        <v>1</v>
      </c>
      <c r="N498">
        <v>0</v>
      </c>
      <c r="O498">
        <v>0</v>
      </c>
      <c r="P498">
        <v>1</v>
      </c>
      <c r="Q498">
        <v>0</v>
      </c>
      <c r="R498">
        <f t="shared" si="14"/>
        <v>2.26295541977823E-5</v>
      </c>
      <c r="S498" t="s">
        <v>339</v>
      </c>
      <c r="T498">
        <v>55</v>
      </c>
      <c r="U498" t="str">
        <f t="shared" si="15"/>
        <v>Mana Iwabuchi:1</v>
      </c>
    </row>
    <row r="499" spans="1:21" x14ac:dyDescent="0.2">
      <c r="A499" t="s">
        <v>337</v>
      </c>
      <c r="B499" t="s">
        <v>668</v>
      </c>
      <c r="C499" t="s">
        <v>669</v>
      </c>
      <c r="D499" t="s">
        <v>40</v>
      </c>
      <c r="E499" t="s">
        <v>27</v>
      </c>
      <c r="F499">
        <v>25</v>
      </c>
      <c r="G499">
        <v>1995</v>
      </c>
      <c r="H499">
        <v>20</v>
      </c>
      <c r="I499">
        <v>20</v>
      </c>
      <c r="J499">
        <v>1800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f t="shared" si="14"/>
        <v>0</v>
      </c>
      <c r="S499" t="s">
        <v>339</v>
      </c>
      <c r="T499">
        <v>55</v>
      </c>
      <c r="U499" t="str">
        <f t="shared" si="15"/>
        <v>Manuela Zinsberger:0</v>
      </c>
    </row>
    <row r="500" spans="1:21" x14ac:dyDescent="0.2">
      <c r="A500" t="s">
        <v>219</v>
      </c>
      <c r="B500" t="s">
        <v>618</v>
      </c>
      <c r="C500" t="s">
        <v>619</v>
      </c>
      <c r="D500" t="s">
        <v>19</v>
      </c>
      <c r="E500" t="s">
        <v>20</v>
      </c>
      <c r="F500">
        <v>31</v>
      </c>
      <c r="G500">
        <v>1989</v>
      </c>
      <c r="H500">
        <v>4</v>
      </c>
      <c r="I500">
        <v>0</v>
      </c>
      <c r="J500">
        <v>56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f t="shared" si="14"/>
        <v>0</v>
      </c>
      <c r="S500" t="s">
        <v>339</v>
      </c>
      <c r="T500">
        <v>56</v>
      </c>
      <c r="U500" t="str">
        <f t="shared" si="15"/>
        <v>Maren Mjelde:0</v>
      </c>
    </row>
    <row r="501" spans="1:21" x14ac:dyDescent="0.2">
      <c r="A501" t="s">
        <v>303</v>
      </c>
      <c r="B501" t="s">
        <v>618</v>
      </c>
      <c r="C501" t="s">
        <v>619</v>
      </c>
      <c r="D501" t="s">
        <v>50</v>
      </c>
      <c r="E501" t="s">
        <v>52</v>
      </c>
      <c r="F501">
        <v>28</v>
      </c>
      <c r="G501">
        <v>1993</v>
      </c>
      <c r="H501">
        <v>20</v>
      </c>
      <c r="I501">
        <v>17</v>
      </c>
      <c r="J501">
        <v>1642</v>
      </c>
      <c r="K501">
        <v>1</v>
      </c>
      <c r="L501">
        <v>0</v>
      </c>
      <c r="M501">
        <v>1</v>
      </c>
      <c r="N501">
        <v>0</v>
      </c>
      <c r="O501">
        <v>0</v>
      </c>
      <c r="P501">
        <v>1</v>
      </c>
      <c r="Q501">
        <v>0</v>
      </c>
      <c r="R501">
        <f t="shared" si="14"/>
        <v>6.7668155366084718E-6</v>
      </c>
      <c r="S501" t="s">
        <v>339</v>
      </c>
      <c r="T501">
        <v>42</v>
      </c>
      <c r="U501" t="str">
        <f t="shared" si="15"/>
        <v>Maria Thorisdottir:0</v>
      </c>
    </row>
    <row r="502" spans="1:21" x14ac:dyDescent="0.2">
      <c r="A502" t="s">
        <v>383</v>
      </c>
      <c r="B502" t="s">
        <v>632</v>
      </c>
      <c r="C502" t="s">
        <v>633</v>
      </c>
      <c r="D502" t="s">
        <v>40</v>
      </c>
      <c r="E502" t="s">
        <v>360</v>
      </c>
      <c r="F502">
        <v>34</v>
      </c>
      <c r="G502">
        <v>1987</v>
      </c>
      <c r="H502">
        <v>7</v>
      </c>
      <c r="I502">
        <v>7</v>
      </c>
      <c r="J502">
        <v>630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f t="shared" si="14"/>
        <v>0</v>
      </c>
      <c r="S502" t="s">
        <v>339</v>
      </c>
      <c r="T502">
        <v>11</v>
      </c>
      <c r="U502" t="str">
        <f t="shared" si="15"/>
        <v>Marie Hourihan:0</v>
      </c>
    </row>
    <row r="503" spans="1:21" x14ac:dyDescent="0.2">
      <c r="A503" t="s">
        <v>366</v>
      </c>
      <c r="B503" t="s">
        <v>630</v>
      </c>
      <c r="C503" t="s">
        <v>631</v>
      </c>
      <c r="D503" t="s">
        <v>34</v>
      </c>
      <c r="E503" t="s">
        <v>37</v>
      </c>
      <c r="F503">
        <v>32</v>
      </c>
      <c r="G503">
        <v>1989</v>
      </c>
      <c r="H503">
        <v>5</v>
      </c>
      <c r="I503">
        <v>3</v>
      </c>
      <c r="J503">
        <v>216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f t="shared" si="14"/>
        <v>0</v>
      </c>
      <c r="S503" t="s">
        <v>339</v>
      </c>
      <c r="T503">
        <v>21</v>
      </c>
      <c r="U503" t="str">
        <f t="shared" si="15"/>
        <v>Marisa Ewers:0</v>
      </c>
    </row>
    <row r="504" spans="1:21" x14ac:dyDescent="0.2">
      <c r="A504" t="s">
        <v>377</v>
      </c>
      <c r="B504" t="s">
        <v>606</v>
      </c>
      <c r="C504" t="s">
        <v>607</v>
      </c>
      <c r="D504" t="s">
        <v>50</v>
      </c>
      <c r="E504" t="s">
        <v>52</v>
      </c>
      <c r="F504">
        <v>26</v>
      </c>
      <c r="G504">
        <v>1994</v>
      </c>
      <c r="H504">
        <v>1</v>
      </c>
      <c r="I504">
        <v>0</v>
      </c>
      <c r="J504">
        <v>11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f t="shared" si="14"/>
        <v>0</v>
      </c>
      <c r="S504" t="s">
        <v>339</v>
      </c>
      <c r="T504">
        <v>42</v>
      </c>
      <c r="U504" t="str">
        <f t="shared" si="15"/>
        <v>Martha Harris:0</v>
      </c>
    </row>
    <row r="505" spans="1:21" x14ac:dyDescent="0.2">
      <c r="A505" t="s">
        <v>302</v>
      </c>
      <c r="B505" t="s">
        <v>652</v>
      </c>
      <c r="C505" t="s">
        <v>653</v>
      </c>
      <c r="D505" t="s">
        <v>26</v>
      </c>
      <c r="E505" t="s">
        <v>52</v>
      </c>
      <c r="F505">
        <v>25</v>
      </c>
      <c r="G505">
        <v>1996</v>
      </c>
      <c r="H505">
        <v>18</v>
      </c>
      <c r="I505">
        <v>9</v>
      </c>
      <c r="J505">
        <v>902</v>
      </c>
      <c r="K505">
        <v>5</v>
      </c>
      <c r="L505">
        <v>2</v>
      </c>
      <c r="M505">
        <v>5</v>
      </c>
      <c r="N505">
        <v>0</v>
      </c>
      <c r="O505">
        <v>0</v>
      </c>
      <c r="P505">
        <v>0</v>
      </c>
      <c r="Q505">
        <v>0</v>
      </c>
      <c r="R505">
        <f t="shared" si="14"/>
        <v>6.1591525006159152E-5</v>
      </c>
      <c r="S505" t="s">
        <v>339</v>
      </c>
      <c r="T505">
        <v>42</v>
      </c>
      <c r="U505" t="str">
        <f t="shared" si="15"/>
        <v>Martha Thomas:2</v>
      </c>
    </row>
    <row r="506" spans="1:21" x14ac:dyDescent="0.2">
      <c r="A506" t="s">
        <v>108</v>
      </c>
      <c r="B506" t="s">
        <v>606</v>
      </c>
      <c r="C506" t="s">
        <v>607</v>
      </c>
      <c r="D506" t="s">
        <v>40</v>
      </c>
      <c r="E506" t="s">
        <v>52</v>
      </c>
      <c r="F506">
        <v>28</v>
      </c>
      <c r="G506">
        <v>1993</v>
      </c>
      <c r="H506">
        <v>22</v>
      </c>
      <c r="I506">
        <v>22</v>
      </c>
      <c r="J506">
        <v>1980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f t="shared" si="14"/>
        <v>0</v>
      </c>
      <c r="S506" t="s">
        <v>339</v>
      </c>
      <c r="T506">
        <v>42</v>
      </c>
      <c r="U506" t="str">
        <f t="shared" si="15"/>
        <v>Mary Earps:0</v>
      </c>
    </row>
    <row r="507" spans="1:21" x14ac:dyDescent="0.2">
      <c r="A507" t="s">
        <v>192</v>
      </c>
      <c r="B507" t="s">
        <v>606</v>
      </c>
      <c r="C507" t="s">
        <v>607</v>
      </c>
      <c r="D507" t="s">
        <v>50</v>
      </c>
      <c r="E507" t="s">
        <v>48</v>
      </c>
      <c r="F507">
        <v>19</v>
      </c>
      <c r="G507">
        <v>2002</v>
      </c>
      <c r="H507">
        <v>22</v>
      </c>
      <c r="I507">
        <v>22</v>
      </c>
      <c r="J507">
        <v>1980</v>
      </c>
      <c r="K507">
        <v>1</v>
      </c>
      <c r="L507">
        <v>0</v>
      </c>
      <c r="M507">
        <v>1</v>
      </c>
      <c r="N507">
        <v>0</v>
      </c>
      <c r="O507">
        <v>0</v>
      </c>
      <c r="P507">
        <v>3</v>
      </c>
      <c r="Q507">
        <v>0</v>
      </c>
      <c r="R507">
        <f t="shared" si="14"/>
        <v>5.6116722783389449E-6</v>
      </c>
      <c r="S507" t="s">
        <v>339</v>
      </c>
      <c r="T507">
        <v>26</v>
      </c>
      <c r="U507" t="str">
        <f t="shared" si="15"/>
        <v>Maya Le Tissier:0</v>
      </c>
    </row>
    <row r="508" spans="1:21" x14ac:dyDescent="0.2">
      <c r="A508" t="s">
        <v>235</v>
      </c>
      <c r="B508" t="s">
        <v>606</v>
      </c>
      <c r="C508" t="s">
        <v>607</v>
      </c>
      <c r="D508" t="s">
        <v>50</v>
      </c>
      <c r="E508" t="s">
        <v>37</v>
      </c>
      <c r="F508">
        <v>22</v>
      </c>
      <c r="G508">
        <v>1998</v>
      </c>
      <c r="H508">
        <v>22</v>
      </c>
      <c r="I508">
        <v>22</v>
      </c>
      <c r="J508">
        <v>1980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3</v>
      </c>
      <c r="Q508">
        <v>0</v>
      </c>
      <c r="R508">
        <f t="shared" si="14"/>
        <v>0</v>
      </c>
      <c r="S508" t="s">
        <v>339</v>
      </c>
      <c r="T508">
        <v>21</v>
      </c>
      <c r="U508" t="str">
        <f t="shared" si="15"/>
        <v>Mayumi Pacheco:0</v>
      </c>
    </row>
    <row r="509" spans="1:21" x14ac:dyDescent="0.2">
      <c r="A509" t="s">
        <v>405</v>
      </c>
      <c r="B509" t="s">
        <v>606</v>
      </c>
      <c r="C509" t="s">
        <v>607</v>
      </c>
      <c r="D509" t="s">
        <v>50</v>
      </c>
      <c r="E509" t="s">
        <v>37</v>
      </c>
      <c r="F509">
        <v>27</v>
      </c>
      <c r="G509">
        <v>1994</v>
      </c>
      <c r="H509">
        <v>12</v>
      </c>
      <c r="I509">
        <v>10</v>
      </c>
      <c r="J509">
        <v>818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f t="shared" si="14"/>
        <v>0</v>
      </c>
      <c r="S509" t="s">
        <v>339</v>
      </c>
      <c r="T509">
        <v>21</v>
      </c>
      <c r="U509" t="str">
        <f t="shared" si="15"/>
        <v>Meaghan Sargeant:0</v>
      </c>
    </row>
    <row r="510" spans="1:21" x14ac:dyDescent="0.2">
      <c r="A510" t="s">
        <v>93</v>
      </c>
      <c r="B510" t="s">
        <v>632</v>
      </c>
      <c r="C510" t="s">
        <v>633</v>
      </c>
      <c r="D510" t="s">
        <v>34</v>
      </c>
      <c r="E510" t="s">
        <v>48</v>
      </c>
      <c r="F510">
        <v>24</v>
      </c>
      <c r="G510">
        <v>1997</v>
      </c>
      <c r="H510">
        <v>20</v>
      </c>
      <c r="I510">
        <v>16</v>
      </c>
      <c r="J510">
        <v>1448</v>
      </c>
      <c r="K510">
        <v>0</v>
      </c>
      <c r="L510">
        <v>2</v>
      </c>
      <c r="M510">
        <v>0</v>
      </c>
      <c r="N510">
        <v>0</v>
      </c>
      <c r="O510">
        <v>0</v>
      </c>
      <c r="P510">
        <v>1</v>
      </c>
      <c r="Q510">
        <v>0</v>
      </c>
      <c r="R510">
        <f t="shared" si="14"/>
        <v>0</v>
      </c>
      <c r="S510" t="s">
        <v>339</v>
      </c>
      <c r="T510">
        <v>26</v>
      </c>
      <c r="U510" t="str">
        <f t="shared" si="15"/>
        <v>Megan Connolly:2</v>
      </c>
    </row>
    <row r="511" spans="1:21" x14ac:dyDescent="0.2">
      <c r="A511" t="s">
        <v>118</v>
      </c>
      <c r="B511" t="s">
        <v>606</v>
      </c>
      <c r="C511" t="s">
        <v>607</v>
      </c>
      <c r="D511" t="s">
        <v>50</v>
      </c>
      <c r="E511" t="s">
        <v>55</v>
      </c>
      <c r="F511">
        <v>23</v>
      </c>
      <c r="G511">
        <v>1998</v>
      </c>
      <c r="H511">
        <v>16</v>
      </c>
      <c r="I511">
        <v>12</v>
      </c>
      <c r="J511">
        <v>1106</v>
      </c>
      <c r="K511">
        <v>1</v>
      </c>
      <c r="L511">
        <v>0</v>
      </c>
      <c r="M511">
        <v>1</v>
      </c>
      <c r="N511">
        <v>0</v>
      </c>
      <c r="O511">
        <v>0</v>
      </c>
      <c r="P511">
        <v>1</v>
      </c>
      <c r="Q511">
        <v>0</v>
      </c>
      <c r="R511">
        <f t="shared" si="14"/>
        <v>1.0046212577858147E-5</v>
      </c>
      <c r="S511" t="s">
        <v>339</v>
      </c>
      <c r="T511">
        <v>20</v>
      </c>
      <c r="U511" t="str">
        <f t="shared" si="15"/>
        <v>Megan Finnigan:0</v>
      </c>
    </row>
    <row r="512" spans="1:21" x14ac:dyDescent="0.2">
      <c r="A512" t="s">
        <v>319</v>
      </c>
      <c r="B512" t="s">
        <v>632</v>
      </c>
      <c r="C512" t="s">
        <v>633</v>
      </c>
      <c r="D512" t="s">
        <v>40</v>
      </c>
      <c r="E512" t="s">
        <v>48</v>
      </c>
      <c r="F512">
        <v>26</v>
      </c>
      <c r="G512">
        <v>1994</v>
      </c>
      <c r="H512">
        <v>20</v>
      </c>
      <c r="I512">
        <v>20</v>
      </c>
      <c r="J512">
        <v>1800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1</v>
      </c>
      <c r="Q512">
        <v>0</v>
      </c>
      <c r="R512">
        <f t="shared" si="14"/>
        <v>0</v>
      </c>
      <c r="S512" t="s">
        <v>339</v>
      </c>
      <c r="T512">
        <v>26</v>
      </c>
      <c r="U512" t="str">
        <f t="shared" si="15"/>
        <v>Megan Walsh:0</v>
      </c>
    </row>
    <row r="513" spans="1:21" x14ac:dyDescent="0.2">
      <c r="A513" t="s">
        <v>197</v>
      </c>
      <c r="B513" t="s">
        <v>630</v>
      </c>
      <c r="C513" t="s">
        <v>631</v>
      </c>
      <c r="D513" t="s">
        <v>34</v>
      </c>
      <c r="E513" t="s">
        <v>20</v>
      </c>
      <c r="F513">
        <v>27</v>
      </c>
      <c r="G513">
        <v>1994</v>
      </c>
      <c r="H513">
        <v>7</v>
      </c>
      <c r="I513">
        <v>6</v>
      </c>
      <c r="J513">
        <v>513</v>
      </c>
      <c r="K513">
        <v>0</v>
      </c>
      <c r="L513">
        <v>1</v>
      </c>
      <c r="M513">
        <v>0</v>
      </c>
      <c r="N513">
        <v>0</v>
      </c>
      <c r="O513">
        <v>0</v>
      </c>
      <c r="P513">
        <v>0</v>
      </c>
      <c r="Q513">
        <v>0</v>
      </c>
      <c r="R513">
        <f t="shared" si="14"/>
        <v>0</v>
      </c>
      <c r="S513" t="s">
        <v>339</v>
      </c>
      <c r="T513">
        <v>56</v>
      </c>
      <c r="U513" t="str">
        <f t="shared" si="15"/>
        <v>Melanie Leupolz:1</v>
      </c>
    </row>
    <row r="514" spans="1:21" x14ac:dyDescent="0.2">
      <c r="A514" t="s">
        <v>117</v>
      </c>
      <c r="B514" t="s">
        <v>606</v>
      </c>
      <c r="C514" t="s">
        <v>607</v>
      </c>
      <c r="D514" t="s">
        <v>23</v>
      </c>
      <c r="E514" t="s">
        <v>24</v>
      </c>
      <c r="F514">
        <v>19</v>
      </c>
      <c r="G514">
        <v>2002</v>
      </c>
      <c r="H514">
        <v>19</v>
      </c>
      <c r="I514">
        <v>4</v>
      </c>
      <c r="J514">
        <v>389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f t="shared" si="14"/>
        <v>0</v>
      </c>
      <c r="S514" t="s">
        <v>339</v>
      </c>
      <c r="T514">
        <v>27</v>
      </c>
      <c r="U514" t="str">
        <f t="shared" si="15"/>
        <v>Melisa Filis:0</v>
      </c>
    </row>
    <row r="515" spans="1:21" x14ac:dyDescent="0.2">
      <c r="A515" t="s">
        <v>70</v>
      </c>
      <c r="B515" t="s">
        <v>606</v>
      </c>
      <c r="C515" t="s">
        <v>607</v>
      </c>
      <c r="D515" t="s">
        <v>50</v>
      </c>
      <c r="E515" t="s">
        <v>20</v>
      </c>
      <c r="F515">
        <v>27</v>
      </c>
      <c r="G515">
        <v>1993</v>
      </c>
      <c r="H515">
        <v>22</v>
      </c>
      <c r="I515">
        <v>22</v>
      </c>
      <c r="J515">
        <v>1971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3</v>
      </c>
      <c r="Q515">
        <v>0</v>
      </c>
      <c r="R515">
        <f t="shared" ref="R515:R578" si="16">K515/J515/90</f>
        <v>0</v>
      </c>
      <c r="S515" t="s">
        <v>339</v>
      </c>
      <c r="T515">
        <v>56</v>
      </c>
      <c r="U515" t="str">
        <f t="shared" ref="U515:U578" si="17">CONCATENATE(A515, ":", L515)</f>
        <v>Millie Bright:0</v>
      </c>
    </row>
    <row r="516" spans="1:21" x14ac:dyDescent="0.2">
      <c r="A516" t="s">
        <v>310</v>
      </c>
      <c r="B516" t="s">
        <v>606</v>
      </c>
      <c r="C516" t="s">
        <v>607</v>
      </c>
      <c r="D516" t="s">
        <v>50</v>
      </c>
      <c r="E516" t="s">
        <v>52</v>
      </c>
      <c r="F516">
        <v>25</v>
      </c>
      <c r="G516">
        <v>1996</v>
      </c>
      <c r="H516">
        <v>4</v>
      </c>
      <c r="I516">
        <v>4</v>
      </c>
      <c r="J516">
        <v>258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f t="shared" si="16"/>
        <v>0</v>
      </c>
      <c r="S516" t="s">
        <v>339</v>
      </c>
      <c r="T516">
        <v>42</v>
      </c>
      <c r="U516" t="str">
        <f t="shared" si="17"/>
        <v>Millie Turner:0</v>
      </c>
    </row>
    <row r="517" spans="1:21" x14ac:dyDescent="0.2">
      <c r="A517" t="s">
        <v>138</v>
      </c>
      <c r="B517" t="s">
        <v>606</v>
      </c>
      <c r="C517" t="s">
        <v>607</v>
      </c>
      <c r="D517" t="s">
        <v>23</v>
      </c>
      <c r="E517" t="s">
        <v>46</v>
      </c>
      <c r="F517">
        <v>18</v>
      </c>
      <c r="G517">
        <v>2003</v>
      </c>
      <c r="H517">
        <v>6</v>
      </c>
      <c r="I517">
        <v>4</v>
      </c>
      <c r="J517">
        <v>345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1</v>
      </c>
      <c r="Q517">
        <v>0</v>
      </c>
      <c r="R517">
        <f t="shared" si="16"/>
        <v>0</v>
      </c>
      <c r="S517" t="s">
        <v>339</v>
      </c>
      <c r="T517">
        <v>13</v>
      </c>
      <c r="U517" t="str">
        <f t="shared" si="17"/>
        <v>Missy Goodwin:0</v>
      </c>
    </row>
    <row r="518" spans="1:21" x14ac:dyDescent="0.2">
      <c r="A518" t="s">
        <v>49</v>
      </c>
      <c r="B518" t="s">
        <v>606</v>
      </c>
      <c r="C518" t="s">
        <v>607</v>
      </c>
      <c r="D518" t="s">
        <v>50</v>
      </c>
      <c r="E518" t="s">
        <v>30</v>
      </c>
      <c r="F518">
        <v>25</v>
      </c>
      <c r="G518">
        <v>1996</v>
      </c>
      <c r="H518">
        <v>22</v>
      </c>
      <c r="I518">
        <v>22</v>
      </c>
      <c r="J518">
        <v>1980</v>
      </c>
      <c r="K518">
        <v>0</v>
      </c>
      <c r="L518">
        <v>1</v>
      </c>
      <c r="M518">
        <v>0</v>
      </c>
      <c r="N518">
        <v>0</v>
      </c>
      <c r="O518">
        <v>0</v>
      </c>
      <c r="P518">
        <v>2</v>
      </c>
      <c r="Q518">
        <v>0</v>
      </c>
      <c r="R518">
        <f t="shared" si="16"/>
        <v>0</v>
      </c>
      <c r="S518" t="s">
        <v>339</v>
      </c>
      <c r="T518">
        <v>32</v>
      </c>
      <c r="U518" t="str">
        <f t="shared" si="17"/>
        <v>Molly Bartrip:1</v>
      </c>
    </row>
    <row r="519" spans="1:21" x14ac:dyDescent="0.2">
      <c r="A519" t="s">
        <v>249</v>
      </c>
      <c r="B519" t="s">
        <v>606</v>
      </c>
      <c r="C519" t="s">
        <v>607</v>
      </c>
      <c r="D519" t="s">
        <v>34</v>
      </c>
      <c r="E519" t="s">
        <v>46</v>
      </c>
      <c r="F519">
        <v>20</v>
      </c>
      <c r="G519">
        <v>2001</v>
      </c>
      <c r="H519">
        <v>21</v>
      </c>
      <c r="I519">
        <v>20</v>
      </c>
      <c r="J519">
        <v>1777</v>
      </c>
      <c r="K519">
        <v>0</v>
      </c>
      <c r="L519">
        <v>2</v>
      </c>
      <c r="M519">
        <v>0</v>
      </c>
      <c r="N519">
        <v>0</v>
      </c>
      <c r="O519">
        <v>0</v>
      </c>
      <c r="P519">
        <v>0</v>
      </c>
      <c r="Q519">
        <v>0</v>
      </c>
      <c r="R519">
        <f t="shared" si="16"/>
        <v>0</v>
      </c>
      <c r="S519" t="s">
        <v>339</v>
      </c>
      <c r="T519">
        <v>13</v>
      </c>
      <c r="U519" t="str">
        <f t="shared" si="17"/>
        <v>Molly Pike:2</v>
      </c>
    </row>
    <row r="520" spans="1:21" x14ac:dyDescent="0.2">
      <c r="A520" t="s">
        <v>263</v>
      </c>
      <c r="B520" t="s">
        <v>606</v>
      </c>
      <c r="C520" t="s">
        <v>607</v>
      </c>
      <c r="D520" t="s">
        <v>34</v>
      </c>
      <c r="E520" t="s">
        <v>46</v>
      </c>
      <c r="F520">
        <v>16</v>
      </c>
      <c r="G520">
        <v>2004</v>
      </c>
      <c r="H520">
        <v>1</v>
      </c>
      <c r="I520">
        <v>0</v>
      </c>
      <c r="J520">
        <v>12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f t="shared" si="16"/>
        <v>0</v>
      </c>
      <c r="S520" t="s">
        <v>339</v>
      </c>
      <c r="T520">
        <v>13</v>
      </c>
      <c r="U520" t="str">
        <f t="shared" si="17"/>
        <v>Monique Robinson:0</v>
      </c>
    </row>
    <row r="521" spans="1:21" x14ac:dyDescent="0.2">
      <c r="A521" t="s">
        <v>376</v>
      </c>
      <c r="B521" t="s">
        <v>606</v>
      </c>
      <c r="C521" t="s">
        <v>607</v>
      </c>
      <c r="D521" t="s">
        <v>34</v>
      </c>
      <c r="E521" t="s">
        <v>37</v>
      </c>
      <c r="F521">
        <v>21</v>
      </c>
      <c r="G521">
        <v>1999</v>
      </c>
      <c r="H521">
        <v>1</v>
      </c>
      <c r="I521">
        <v>0</v>
      </c>
      <c r="J521">
        <v>1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f t="shared" si="16"/>
        <v>0</v>
      </c>
      <c r="S521" t="s">
        <v>339</v>
      </c>
      <c r="T521">
        <v>21</v>
      </c>
      <c r="U521" t="str">
        <f t="shared" si="17"/>
        <v>Natalie Haigh:0</v>
      </c>
    </row>
    <row r="522" spans="1:21" x14ac:dyDescent="0.2">
      <c r="A522" t="s">
        <v>107</v>
      </c>
      <c r="B522" t="s">
        <v>606</v>
      </c>
      <c r="C522" t="s">
        <v>607</v>
      </c>
      <c r="D522" t="s">
        <v>26</v>
      </c>
      <c r="E522" t="s">
        <v>35</v>
      </c>
      <c r="F522">
        <v>33</v>
      </c>
      <c r="G522">
        <v>1988</v>
      </c>
      <c r="H522">
        <v>17</v>
      </c>
      <c r="I522">
        <v>16</v>
      </c>
      <c r="J522">
        <v>1374</v>
      </c>
      <c r="K522">
        <v>6</v>
      </c>
      <c r="L522">
        <v>1</v>
      </c>
      <c r="M522">
        <v>5</v>
      </c>
      <c r="N522">
        <v>1</v>
      </c>
      <c r="O522">
        <v>2</v>
      </c>
      <c r="P522">
        <v>0</v>
      </c>
      <c r="Q522">
        <v>0</v>
      </c>
      <c r="R522">
        <f t="shared" si="16"/>
        <v>4.8520135856380395E-5</v>
      </c>
      <c r="S522" t="s">
        <v>339</v>
      </c>
      <c r="T522">
        <v>25</v>
      </c>
      <c r="U522" t="str">
        <f t="shared" si="17"/>
        <v>Natasha Dowie:1</v>
      </c>
    </row>
    <row r="523" spans="1:21" x14ac:dyDescent="0.2">
      <c r="A523" t="s">
        <v>123</v>
      </c>
      <c r="B523" t="s">
        <v>606</v>
      </c>
      <c r="C523" t="s">
        <v>607</v>
      </c>
      <c r="D523" t="s">
        <v>42</v>
      </c>
      <c r="E523" t="s">
        <v>46</v>
      </c>
      <c r="F523">
        <v>24</v>
      </c>
      <c r="G523">
        <v>1996</v>
      </c>
      <c r="H523">
        <v>21</v>
      </c>
      <c r="I523">
        <v>13</v>
      </c>
      <c r="J523">
        <v>1253</v>
      </c>
      <c r="K523">
        <v>2</v>
      </c>
      <c r="L523">
        <v>1</v>
      </c>
      <c r="M523">
        <v>2</v>
      </c>
      <c r="N523">
        <v>0</v>
      </c>
      <c r="O523">
        <v>0</v>
      </c>
      <c r="P523">
        <v>2</v>
      </c>
      <c r="Q523">
        <v>0</v>
      </c>
      <c r="R523">
        <f t="shared" si="16"/>
        <v>1.7735213265939524E-5</v>
      </c>
      <c r="S523" t="s">
        <v>339</v>
      </c>
      <c r="T523">
        <v>13</v>
      </c>
      <c r="U523" t="str">
        <f t="shared" si="17"/>
        <v>Natasha Flint:1</v>
      </c>
    </row>
    <row r="524" spans="1:21" x14ac:dyDescent="0.2">
      <c r="A524" t="s">
        <v>149</v>
      </c>
      <c r="B524" t="s">
        <v>624</v>
      </c>
      <c r="C524" t="s">
        <v>625</v>
      </c>
      <c r="D524" t="s">
        <v>29</v>
      </c>
      <c r="E524" t="s">
        <v>35</v>
      </c>
      <c r="F524">
        <v>32</v>
      </c>
      <c r="G524">
        <v>1989</v>
      </c>
      <c r="H524">
        <v>22</v>
      </c>
      <c r="I524">
        <v>21</v>
      </c>
      <c r="J524">
        <v>1821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3</v>
      </c>
      <c r="Q524">
        <v>0</v>
      </c>
      <c r="R524">
        <f t="shared" si="16"/>
        <v>0</v>
      </c>
      <c r="S524" t="s">
        <v>339</v>
      </c>
      <c r="T524">
        <v>25</v>
      </c>
      <c r="U524" t="str">
        <f t="shared" si="17"/>
        <v>Natasha Harding:0</v>
      </c>
    </row>
    <row r="525" spans="1:21" x14ac:dyDescent="0.2">
      <c r="A525" t="s">
        <v>59</v>
      </c>
      <c r="B525" t="s">
        <v>658</v>
      </c>
      <c r="C525" t="s">
        <v>659</v>
      </c>
      <c r="D525" t="s">
        <v>50</v>
      </c>
      <c r="E525" t="s">
        <v>55</v>
      </c>
      <c r="F525">
        <v>24</v>
      </c>
      <c r="G525">
        <v>1997</v>
      </c>
      <c r="H525">
        <v>16</v>
      </c>
      <c r="I525">
        <v>14</v>
      </c>
      <c r="J525">
        <v>1135</v>
      </c>
      <c r="K525">
        <v>1</v>
      </c>
      <c r="L525">
        <v>0</v>
      </c>
      <c r="M525">
        <v>1</v>
      </c>
      <c r="N525">
        <v>0</v>
      </c>
      <c r="O525">
        <v>0</v>
      </c>
      <c r="P525">
        <v>1</v>
      </c>
      <c r="Q525">
        <v>0</v>
      </c>
      <c r="R525">
        <f t="shared" si="16"/>
        <v>9.7895252080274108E-6</v>
      </c>
      <c r="S525" t="s">
        <v>339</v>
      </c>
      <c r="T525">
        <v>20</v>
      </c>
      <c r="U525" t="str">
        <f t="shared" si="17"/>
        <v>Nathalie Björn:0</v>
      </c>
    </row>
    <row r="526" spans="1:21" x14ac:dyDescent="0.2">
      <c r="A526" t="s">
        <v>88</v>
      </c>
      <c r="B526" t="s">
        <v>606</v>
      </c>
      <c r="C526" t="s">
        <v>607</v>
      </c>
      <c r="D526" t="s">
        <v>29</v>
      </c>
      <c r="E526" t="s">
        <v>20</v>
      </c>
      <c r="F526">
        <v>22</v>
      </c>
      <c r="G526">
        <v>1999</v>
      </c>
      <c r="H526">
        <v>20</v>
      </c>
      <c r="I526">
        <v>12</v>
      </c>
      <c r="J526">
        <v>1039</v>
      </c>
      <c r="K526">
        <v>1</v>
      </c>
      <c r="L526">
        <v>1</v>
      </c>
      <c r="M526">
        <v>1</v>
      </c>
      <c r="N526">
        <v>0</v>
      </c>
      <c r="O526">
        <v>0</v>
      </c>
      <c r="P526">
        <v>0</v>
      </c>
      <c r="Q526">
        <v>0</v>
      </c>
      <c r="R526">
        <f t="shared" si="16"/>
        <v>1.0694043417816276E-5</v>
      </c>
      <c r="S526" t="s">
        <v>339</v>
      </c>
      <c r="T526">
        <v>56</v>
      </c>
      <c r="U526" t="str">
        <f t="shared" si="17"/>
        <v>Niamh Charles:1</v>
      </c>
    </row>
    <row r="527" spans="1:21" x14ac:dyDescent="0.2">
      <c r="A527" t="s">
        <v>297</v>
      </c>
      <c r="B527" t="s">
        <v>620</v>
      </c>
      <c r="C527" t="s">
        <v>621</v>
      </c>
      <c r="D527" t="s">
        <v>19</v>
      </c>
      <c r="E527" t="s">
        <v>55</v>
      </c>
      <c r="F527">
        <v>23</v>
      </c>
      <c r="G527">
        <v>1997</v>
      </c>
      <c r="H527">
        <v>3</v>
      </c>
      <c r="I527">
        <v>1</v>
      </c>
      <c r="J527">
        <v>96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f t="shared" si="16"/>
        <v>0</v>
      </c>
      <c r="S527" t="s">
        <v>339</v>
      </c>
      <c r="T527">
        <v>20</v>
      </c>
      <c r="U527" t="str">
        <f t="shared" si="17"/>
        <v>Nicoline Sørensen:0</v>
      </c>
    </row>
    <row r="528" spans="1:21" x14ac:dyDescent="0.2">
      <c r="A528" t="s">
        <v>238</v>
      </c>
      <c r="B528" t="s">
        <v>606</v>
      </c>
      <c r="C528" t="s">
        <v>607</v>
      </c>
      <c r="D528" t="s">
        <v>26</v>
      </c>
      <c r="E528" t="s">
        <v>27</v>
      </c>
      <c r="F528">
        <v>27</v>
      </c>
      <c r="G528">
        <v>1994</v>
      </c>
      <c r="H528">
        <v>18</v>
      </c>
      <c r="I528">
        <v>5</v>
      </c>
      <c r="J528">
        <v>609</v>
      </c>
      <c r="K528">
        <v>1</v>
      </c>
      <c r="L528">
        <v>3</v>
      </c>
      <c r="M528">
        <v>0</v>
      </c>
      <c r="N528">
        <v>1</v>
      </c>
      <c r="O528">
        <v>1</v>
      </c>
      <c r="P528">
        <v>2</v>
      </c>
      <c r="Q528">
        <v>0</v>
      </c>
      <c r="R528">
        <f t="shared" si="16"/>
        <v>1.8244845831052727E-5</v>
      </c>
      <c r="S528" t="s">
        <v>339</v>
      </c>
      <c r="T528">
        <v>55</v>
      </c>
      <c r="U528" t="str">
        <f t="shared" si="17"/>
        <v>Nikita Parris:3</v>
      </c>
    </row>
    <row r="529" spans="1:21" x14ac:dyDescent="0.2">
      <c r="A529" t="s">
        <v>209</v>
      </c>
      <c r="B529" t="s">
        <v>614</v>
      </c>
      <c r="C529" t="s">
        <v>615</v>
      </c>
      <c r="D529" t="s">
        <v>50</v>
      </c>
      <c r="E529" t="s">
        <v>27</v>
      </c>
      <c r="F529">
        <v>25</v>
      </c>
      <c r="G529">
        <v>1995</v>
      </c>
      <c r="H529">
        <v>19</v>
      </c>
      <c r="I529">
        <v>19</v>
      </c>
      <c r="J529">
        <v>1585</v>
      </c>
      <c r="K529">
        <v>0</v>
      </c>
      <c r="L529">
        <v>1</v>
      </c>
      <c r="M529">
        <v>0</v>
      </c>
      <c r="N529">
        <v>0</v>
      </c>
      <c r="O529">
        <v>0</v>
      </c>
      <c r="P529">
        <v>3</v>
      </c>
      <c r="Q529">
        <v>0</v>
      </c>
      <c r="R529">
        <f t="shared" si="16"/>
        <v>0</v>
      </c>
      <c r="S529" t="s">
        <v>339</v>
      </c>
      <c r="T529">
        <v>55</v>
      </c>
      <c r="U529" t="str">
        <f t="shared" si="17"/>
        <v>Noelle Maritz:1</v>
      </c>
    </row>
    <row r="530" spans="1:21" x14ac:dyDescent="0.2">
      <c r="A530" t="s">
        <v>214</v>
      </c>
      <c r="B530" t="s">
        <v>606</v>
      </c>
      <c r="C530" t="s">
        <v>607</v>
      </c>
      <c r="D530" t="s">
        <v>94</v>
      </c>
      <c r="E530" t="s">
        <v>37</v>
      </c>
      <c r="F530">
        <v>16</v>
      </c>
      <c r="G530">
        <v>2004</v>
      </c>
      <c r="H530">
        <v>11</v>
      </c>
      <c r="I530">
        <v>3</v>
      </c>
      <c r="J530">
        <v>450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f t="shared" si="16"/>
        <v>0</v>
      </c>
      <c r="S530" t="s">
        <v>339</v>
      </c>
      <c r="T530">
        <v>21</v>
      </c>
      <c r="U530" t="str">
        <f t="shared" si="17"/>
        <v>Olivia McLoughlin:0</v>
      </c>
    </row>
    <row r="531" spans="1:21" x14ac:dyDescent="0.2">
      <c r="A531" t="s">
        <v>51</v>
      </c>
      <c r="B531" t="s">
        <v>666</v>
      </c>
      <c r="C531" t="s">
        <v>667</v>
      </c>
      <c r="D531" t="s">
        <v>50</v>
      </c>
      <c r="E531" t="s">
        <v>52</v>
      </c>
      <c r="F531">
        <v>22</v>
      </c>
      <c r="G531">
        <v>1999</v>
      </c>
      <c r="H531">
        <v>21</v>
      </c>
      <c r="I531">
        <v>21</v>
      </c>
      <c r="J531">
        <v>1869</v>
      </c>
      <c r="K531">
        <v>1</v>
      </c>
      <c r="L531">
        <v>3</v>
      </c>
      <c r="M531">
        <v>1</v>
      </c>
      <c r="N531">
        <v>0</v>
      </c>
      <c r="O531">
        <v>0</v>
      </c>
      <c r="P531">
        <v>2</v>
      </c>
      <c r="Q531">
        <v>0</v>
      </c>
      <c r="R531">
        <f t="shared" si="16"/>
        <v>5.9449497651744842E-6</v>
      </c>
      <c r="S531" t="s">
        <v>339</v>
      </c>
      <c r="T531">
        <v>42</v>
      </c>
      <c r="U531" t="str">
        <f t="shared" si="17"/>
        <v>Ona Batlle:3</v>
      </c>
    </row>
    <row r="532" spans="1:21" x14ac:dyDescent="0.2">
      <c r="A532" t="s">
        <v>346</v>
      </c>
      <c r="B532" t="s">
        <v>650</v>
      </c>
      <c r="C532" t="s">
        <v>651</v>
      </c>
      <c r="D532" t="s">
        <v>248</v>
      </c>
      <c r="E532" t="s">
        <v>46</v>
      </c>
      <c r="F532">
        <v>19</v>
      </c>
      <c r="G532">
        <v>2001</v>
      </c>
      <c r="H532">
        <v>12</v>
      </c>
      <c r="I532">
        <v>4</v>
      </c>
      <c r="J532">
        <v>358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1</v>
      </c>
      <c r="Q532">
        <v>0</v>
      </c>
      <c r="R532">
        <f t="shared" si="16"/>
        <v>0</v>
      </c>
      <c r="S532" t="s">
        <v>339</v>
      </c>
      <c r="T532">
        <v>13</v>
      </c>
      <c r="U532" t="str">
        <f t="shared" si="17"/>
        <v>Paige Bailey-Gayle:0</v>
      </c>
    </row>
    <row r="533" spans="1:21" x14ac:dyDescent="0.2">
      <c r="A533" t="s">
        <v>148</v>
      </c>
      <c r="B533" t="s">
        <v>620</v>
      </c>
      <c r="C533" t="s">
        <v>621</v>
      </c>
      <c r="D533" t="s">
        <v>42</v>
      </c>
      <c r="E533" t="s">
        <v>20</v>
      </c>
      <c r="F533">
        <v>28</v>
      </c>
      <c r="G533">
        <v>1992</v>
      </c>
      <c r="H533">
        <v>16</v>
      </c>
      <c r="I533">
        <v>13</v>
      </c>
      <c r="J533">
        <v>1193</v>
      </c>
      <c r="K533">
        <v>6</v>
      </c>
      <c r="L533">
        <v>3</v>
      </c>
      <c r="M533">
        <v>5</v>
      </c>
      <c r="N533">
        <v>1</v>
      </c>
      <c r="O533">
        <v>1</v>
      </c>
      <c r="P533">
        <v>1</v>
      </c>
      <c r="Q533">
        <v>0</v>
      </c>
      <c r="R533">
        <f t="shared" si="16"/>
        <v>5.588153115395362E-5</v>
      </c>
      <c r="S533" t="s">
        <v>339</v>
      </c>
      <c r="T533">
        <v>56</v>
      </c>
      <c r="U533" t="str">
        <f t="shared" si="17"/>
        <v>Pernille Harder:3</v>
      </c>
    </row>
    <row r="534" spans="1:21" x14ac:dyDescent="0.2">
      <c r="A534" t="s">
        <v>240</v>
      </c>
      <c r="B534" t="s">
        <v>606</v>
      </c>
      <c r="C534" t="s">
        <v>607</v>
      </c>
      <c r="D534" t="s">
        <v>50</v>
      </c>
      <c r="E534" t="s">
        <v>55</v>
      </c>
      <c r="F534">
        <v>21</v>
      </c>
      <c r="G534">
        <v>2000</v>
      </c>
      <c r="H534">
        <v>17</v>
      </c>
      <c r="I534">
        <v>7</v>
      </c>
      <c r="J534">
        <v>753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f t="shared" si="16"/>
        <v>0</v>
      </c>
      <c r="S534" t="s">
        <v>339</v>
      </c>
      <c r="T534">
        <v>20</v>
      </c>
      <c r="U534" t="str">
        <f t="shared" si="17"/>
        <v>Poppy Pattinson:0</v>
      </c>
    </row>
    <row r="535" spans="1:21" x14ac:dyDescent="0.2">
      <c r="A535" t="s">
        <v>98</v>
      </c>
      <c r="B535" t="s">
        <v>652</v>
      </c>
      <c r="C535" t="s">
        <v>653</v>
      </c>
      <c r="D535" t="s">
        <v>29</v>
      </c>
      <c r="E535" t="s">
        <v>37</v>
      </c>
      <c r="F535">
        <v>31</v>
      </c>
      <c r="G535">
        <v>1989</v>
      </c>
      <c r="H535">
        <v>6</v>
      </c>
      <c r="I535">
        <v>5</v>
      </c>
      <c r="J535">
        <v>479</v>
      </c>
      <c r="K535">
        <v>0</v>
      </c>
      <c r="L535">
        <v>1</v>
      </c>
      <c r="M535">
        <v>0</v>
      </c>
      <c r="N535">
        <v>0</v>
      </c>
      <c r="O535">
        <v>0</v>
      </c>
      <c r="P535">
        <v>1</v>
      </c>
      <c r="Q535">
        <v>0</v>
      </c>
      <c r="R535">
        <f t="shared" si="16"/>
        <v>0</v>
      </c>
      <c r="S535" t="s">
        <v>339</v>
      </c>
      <c r="T535">
        <v>21</v>
      </c>
      <c r="U535" t="str">
        <f t="shared" si="17"/>
        <v>Rachel Corsie:1</v>
      </c>
    </row>
    <row r="536" spans="1:21" x14ac:dyDescent="0.2">
      <c r="A536" t="s">
        <v>266</v>
      </c>
      <c r="B536" t="s">
        <v>624</v>
      </c>
      <c r="C536" t="s">
        <v>625</v>
      </c>
      <c r="D536" t="s">
        <v>23</v>
      </c>
      <c r="E536" t="s">
        <v>35</v>
      </c>
      <c r="F536">
        <v>28</v>
      </c>
      <c r="G536">
        <v>1992</v>
      </c>
      <c r="H536">
        <v>14</v>
      </c>
      <c r="I536">
        <v>9</v>
      </c>
      <c r="J536">
        <v>941</v>
      </c>
      <c r="K536">
        <v>1</v>
      </c>
      <c r="L536">
        <v>3</v>
      </c>
      <c r="M536">
        <v>1</v>
      </c>
      <c r="N536">
        <v>0</v>
      </c>
      <c r="O536">
        <v>0</v>
      </c>
      <c r="P536">
        <v>1</v>
      </c>
      <c r="Q536">
        <v>0</v>
      </c>
      <c r="R536">
        <f t="shared" si="16"/>
        <v>1.1807769512339119E-5</v>
      </c>
      <c r="S536" t="s">
        <v>339</v>
      </c>
      <c r="T536">
        <v>25</v>
      </c>
      <c r="U536" t="str">
        <f t="shared" si="17"/>
        <v>Rachel Rowe:3</v>
      </c>
    </row>
    <row r="537" spans="1:21" x14ac:dyDescent="0.2">
      <c r="A537" t="s">
        <v>328</v>
      </c>
      <c r="B537" t="s">
        <v>606</v>
      </c>
      <c r="C537" t="s">
        <v>607</v>
      </c>
      <c r="D537" t="s">
        <v>26</v>
      </c>
      <c r="E537" t="s">
        <v>30</v>
      </c>
      <c r="F537">
        <v>33</v>
      </c>
      <c r="G537">
        <v>1988</v>
      </c>
      <c r="H537">
        <v>22</v>
      </c>
      <c r="I537">
        <v>21</v>
      </c>
      <c r="J537">
        <v>1803</v>
      </c>
      <c r="K537">
        <v>4</v>
      </c>
      <c r="L537">
        <v>2</v>
      </c>
      <c r="M537">
        <v>4</v>
      </c>
      <c r="N537">
        <v>0</v>
      </c>
      <c r="O537">
        <v>0</v>
      </c>
      <c r="P537">
        <v>5</v>
      </c>
      <c r="Q537">
        <v>1</v>
      </c>
      <c r="R537">
        <f t="shared" si="16"/>
        <v>2.4650274234300859E-5</v>
      </c>
      <c r="S537" t="s">
        <v>339</v>
      </c>
      <c r="T537">
        <v>32</v>
      </c>
      <c r="U537" t="str">
        <f t="shared" si="17"/>
        <v>Rachel Williams:2</v>
      </c>
    </row>
    <row r="538" spans="1:21" x14ac:dyDescent="0.2">
      <c r="A538" t="s">
        <v>254</v>
      </c>
      <c r="B538" t="s">
        <v>662</v>
      </c>
      <c r="C538" t="s">
        <v>663</v>
      </c>
      <c r="D538" t="s">
        <v>50</v>
      </c>
      <c r="E538" t="s">
        <v>27</v>
      </c>
      <c r="F538">
        <v>30</v>
      </c>
      <c r="G538">
        <v>1991</v>
      </c>
      <c r="H538">
        <v>6</v>
      </c>
      <c r="I538">
        <v>4</v>
      </c>
      <c r="J538">
        <v>399</v>
      </c>
      <c r="K538">
        <v>1</v>
      </c>
      <c r="L538">
        <v>0</v>
      </c>
      <c r="M538">
        <v>1</v>
      </c>
      <c r="N538">
        <v>0</v>
      </c>
      <c r="O538">
        <v>0</v>
      </c>
      <c r="P538">
        <v>0</v>
      </c>
      <c r="Q538">
        <v>0</v>
      </c>
      <c r="R538">
        <f t="shared" si="16"/>
        <v>2.7847396268448898E-5</v>
      </c>
      <c r="S538" t="s">
        <v>339</v>
      </c>
      <c r="T538">
        <v>55</v>
      </c>
      <c r="U538" t="str">
        <f t="shared" si="17"/>
        <v>Rafaelle:0</v>
      </c>
    </row>
    <row r="539" spans="1:21" x14ac:dyDescent="0.2">
      <c r="A539" t="s">
        <v>247</v>
      </c>
      <c r="B539" t="s">
        <v>630</v>
      </c>
      <c r="C539" t="s">
        <v>631</v>
      </c>
      <c r="D539" t="s">
        <v>42</v>
      </c>
      <c r="E539" t="s">
        <v>37</v>
      </c>
      <c r="F539">
        <v>28</v>
      </c>
      <c r="G539">
        <v>1992</v>
      </c>
      <c r="H539">
        <v>19</v>
      </c>
      <c r="I539">
        <v>18</v>
      </c>
      <c r="J539">
        <v>1655</v>
      </c>
      <c r="K539">
        <v>3</v>
      </c>
      <c r="L539">
        <v>1</v>
      </c>
      <c r="M539">
        <v>3</v>
      </c>
      <c r="N539">
        <v>0</v>
      </c>
      <c r="O539">
        <v>0</v>
      </c>
      <c r="P539">
        <v>1</v>
      </c>
      <c r="Q539">
        <v>0</v>
      </c>
      <c r="R539">
        <f t="shared" si="16"/>
        <v>2.014098690835851E-5</v>
      </c>
      <c r="S539" t="s">
        <v>339</v>
      </c>
      <c r="T539">
        <v>21</v>
      </c>
      <c r="U539" t="str">
        <f t="shared" si="17"/>
        <v>Ramona Petzelberger:1</v>
      </c>
    </row>
    <row r="540" spans="1:21" x14ac:dyDescent="0.2">
      <c r="A540" t="s">
        <v>382</v>
      </c>
      <c r="B540" t="s">
        <v>646</v>
      </c>
      <c r="C540" t="s">
        <v>647</v>
      </c>
      <c r="D540" t="s">
        <v>29</v>
      </c>
      <c r="E540" t="s">
        <v>360</v>
      </c>
      <c r="F540">
        <v>25</v>
      </c>
      <c r="G540">
        <v>1995</v>
      </c>
      <c r="H540">
        <v>17</v>
      </c>
      <c r="I540">
        <v>16</v>
      </c>
      <c r="J540">
        <v>1467</v>
      </c>
      <c r="K540">
        <v>0</v>
      </c>
      <c r="L540">
        <v>1</v>
      </c>
      <c r="M540">
        <v>0</v>
      </c>
      <c r="N540">
        <v>0</v>
      </c>
      <c r="O540">
        <v>0</v>
      </c>
      <c r="P540">
        <v>1</v>
      </c>
      <c r="Q540">
        <v>0</v>
      </c>
      <c r="R540">
        <f t="shared" si="16"/>
        <v>0</v>
      </c>
      <c r="S540" t="s">
        <v>339</v>
      </c>
      <c r="T540">
        <v>11</v>
      </c>
      <c r="U540" t="str">
        <f t="shared" si="17"/>
        <v>Rebecca Holloway:1</v>
      </c>
    </row>
    <row r="541" spans="1:21" x14ac:dyDescent="0.2">
      <c r="A541" t="s">
        <v>286</v>
      </c>
      <c r="B541" t="s">
        <v>650</v>
      </c>
      <c r="C541" t="s">
        <v>651</v>
      </c>
      <c r="D541" t="s">
        <v>40</v>
      </c>
      <c r="E541" t="s">
        <v>30</v>
      </c>
      <c r="F541">
        <v>30</v>
      </c>
      <c r="G541">
        <v>1991</v>
      </c>
      <c r="H541">
        <v>11</v>
      </c>
      <c r="I541">
        <v>11</v>
      </c>
      <c r="J541">
        <v>990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f t="shared" si="16"/>
        <v>0</v>
      </c>
      <c r="S541" t="s">
        <v>339</v>
      </c>
      <c r="T541">
        <v>32</v>
      </c>
      <c r="U541" t="str">
        <f t="shared" si="17"/>
        <v>Rebecca Spencer:0</v>
      </c>
    </row>
    <row r="542" spans="1:21" x14ac:dyDescent="0.2">
      <c r="A542" t="s">
        <v>36</v>
      </c>
      <c r="B542" t="s">
        <v>606</v>
      </c>
      <c r="C542" t="s">
        <v>607</v>
      </c>
      <c r="D542" t="s">
        <v>34</v>
      </c>
      <c r="E542" t="s">
        <v>37</v>
      </c>
      <c r="F542">
        <v>30</v>
      </c>
      <c r="G542">
        <v>1990</v>
      </c>
      <c r="H542">
        <v>19</v>
      </c>
      <c r="I542">
        <v>19</v>
      </c>
      <c r="J542">
        <v>1694</v>
      </c>
      <c r="K542">
        <v>3</v>
      </c>
      <c r="L542">
        <v>0</v>
      </c>
      <c r="M542">
        <v>3</v>
      </c>
      <c r="N542">
        <v>0</v>
      </c>
      <c r="O542">
        <v>0</v>
      </c>
      <c r="P542">
        <v>2</v>
      </c>
      <c r="Q542">
        <v>0</v>
      </c>
      <c r="R542">
        <f t="shared" si="16"/>
        <v>1.9677292404565132E-5</v>
      </c>
      <c r="S542" t="s">
        <v>339</v>
      </c>
      <c r="T542">
        <v>21</v>
      </c>
      <c r="U542" t="str">
        <f t="shared" si="17"/>
        <v>Remi Allen:0</v>
      </c>
    </row>
    <row r="543" spans="1:21" x14ac:dyDescent="0.2">
      <c r="A543" t="s">
        <v>414</v>
      </c>
      <c r="B543" t="s">
        <v>606</v>
      </c>
      <c r="C543" t="s">
        <v>607</v>
      </c>
      <c r="D543" t="s">
        <v>40</v>
      </c>
      <c r="E543" t="s">
        <v>35</v>
      </c>
      <c r="H543">
        <v>3</v>
      </c>
      <c r="I543">
        <v>2</v>
      </c>
      <c r="J543">
        <v>226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f t="shared" si="16"/>
        <v>0</v>
      </c>
      <c r="S543" t="s">
        <v>339</v>
      </c>
      <c r="T543">
        <v>25</v>
      </c>
      <c r="U543" t="str">
        <f t="shared" si="17"/>
        <v>Rhiannon Stewart:0</v>
      </c>
    </row>
    <row r="544" spans="1:21" x14ac:dyDescent="0.2">
      <c r="A544" t="s">
        <v>244</v>
      </c>
      <c r="B544" t="s">
        <v>628</v>
      </c>
      <c r="C544" t="s">
        <v>629</v>
      </c>
      <c r="D544" t="s">
        <v>94</v>
      </c>
      <c r="E544" t="s">
        <v>30</v>
      </c>
      <c r="F544">
        <v>31</v>
      </c>
      <c r="G544">
        <v>1989</v>
      </c>
      <c r="H544">
        <v>17</v>
      </c>
      <c r="I544">
        <v>17</v>
      </c>
      <c r="J544">
        <v>1511</v>
      </c>
      <c r="K544">
        <v>2</v>
      </c>
      <c r="L544">
        <v>2</v>
      </c>
      <c r="M544">
        <v>2</v>
      </c>
      <c r="N544">
        <v>0</v>
      </c>
      <c r="O544">
        <v>0</v>
      </c>
      <c r="P544">
        <v>3</v>
      </c>
      <c r="Q544">
        <v>0</v>
      </c>
      <c r="R544">
        <f t="shared" si="16"/>
        <v>1.4706963747334363E-5</v>
      </c>
      <c r="S544" t="s">
        <v>339</v>
      </c>
      <c r="T544">
        <v>32</v>
      </c>
      <c r="U544" t="str">
        <f t="shared" si="17"/>
        <v>Ria Percival:2</v>
      </c>
    </row>
    <row r="545" spans="1:21" x14ac:dyDescent="0.2">
      <c r="A545" t="s">
        <v>272</v>
      </c>
      <c r="B545" t="s">
        <v>620</v>
      </c>
      <c r="C545" t="s">
        <v>621</v>
      </c>
      <c r="D545" t="s">
        <v>50</v>
      </c>
      <c r="E545" t="s">
        <v>55</v>
      </c>
      <c r="F545">
        <v>25</v>
      </c>
      <c r="G545">
        <v>1996</v>
      </c>
      <c r="H545">
        <v>11</v>
      </c>
      <c r="I545">
        <v>9</v>
      </c>
      <c r="J545">
        <v>843</v>
      </c>
      <c r="K545">
        <v>1</v>
      </c>
      <c r="L545">
        <v>0</v>
      </c>
      <c r="M545">
        <v>1</v>
      </c>
      <c r="N545">
        <v>0</v>
      </c>
      <c r="O545">
        <v>0</v>
      </c>
      <c r="P545">
        <v>2</v>
      </c>
      <c r="Q545">
        <v>0</v>
      </c>
      <c r="R545">
        <f t="shared" si="16"/>
        <v>1.3180440226703574E-5</v>
      </c>
      <c r="S545" t="s">
        <v>339</v>
      </c>
      <c r="T545">
        <v>20</v>
      </c>
      <c r="U545" t="str">
        <f t="shared" si="17"/>
        <v>Rikke Sevecke:0</v>
      </c>
    </row>
    <row r="546" spans="1:21" x14ac:dyDescent="0.2">
      <c r="A546" t="s">
        <v>345</v>
      </c>
      <c r="B546" t="s">
        <v>606</v>
      </c>
      <c r="C546" t="s">
        <v>607</v>
      </c>
      <c r="D546" t="s">
        <v>26</v>
      </c>
      <c r="E546" t="s">
        <v>48</v>
      </c>
      <c r="F546">
        <v>23</v>
      </c>
      <c r="G546">
        <v>1998</v>
      </c>
      <c r="H546">
        <v>3</v>
      </c>
      <c r="I546">
        <v>1</v>
      </c>
      <c r="J546">
        <v>93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f t="shared" si="16"/>
        <v>0</v>
      </c>
      <c r="S546" t="s">
        <v>339</v>
      </c>
      <c r="T546">
        <v>26</v>
      </c>
      <c r="U546" t="str">
        <f t="shared" si="17"/>
        <v>Rinsola Babajide:0</v>
      </c>
    </row>
    <row r="547" spans="1:21" x14ac:dyDescent="0.2">
      <c r="A547" t="s">
        <v>44</v>
      </c>
      <c r="B547" t="s">
        <v>672</v>
      </c>
      <c r="C547" t="s">
        <v>673</v>
      </c>
      <c r="D547" t="s">
        <v>42</v>
      </c>
      <c r="E547" t="s">
        <v>30</v>
      </c>
      <c r="F547">
        <v>25</v>
      </c>
      <c r="G547">
        <v>1996</v>
      </c>
      <c r="H547">
        <v>17</v>
      </c>
      <c r="I547">
        <v>7</v>
      </c>
      <c r="J547">
        <v>754</v>
      </c>
      <c r="K547">
        <v>1</v>
      </c>
      <c r="L547">
        <v>0</v>
      </c>
      <c r="M547">
        <v>0</v>
      </c>
      <c r="N547">
        <v>1</v>
      </c>
      <c r="O547">
        <v>1</v>
      </c>
      <c r="P547">
        <v>3</v>
      </c>
      <c r="Q547">
        <v>0</v>
      </c>
      <c r="R547">
        <f t="shared" si="16"/>
        <v>1.4736221632773356E-5</v>
      </c>
      <c r="S547" t="s">
        <v>339</v>
      </c>
      <c r="T547">
        <v>32</v>
      </c>
      <c r="U547" t="str">
        <f t="shared" si="17"/>
        <v>Rosella Ayane:0</v>
      </c>
    </row>
    <row r="548" spans="1:21" x14ac:dyDescent="0.2">
      <c r="A548" t="s">
        <v>204</v>
      </c>
      <c r="B548" t="s">
        <v>606</v>
      </c>
      <c r="C548" t="s">
        <v>607</v>
      </c>
      <c r="D548" t="s">
        <v>50</v>
      </c>
      <c r="E548" t="s">
        <v>32</v>
      </c>
      <c r="F548">
        <v>17</v>
      </c>
      <c r="G548">
        <v>2003</v>
      </c>
      <c r="H548">
        <v>7</v>
      </c>
      <c r="I548">
        <v>2</v>
      </c>
      <c r="J548">
        <v>264</v>
      </c>
      <c r="K548">
        <v>0</v>
      </c>
      <c r="L548">
        <v>1</v>
      </c>
      <c r="M548">
        <v>0</v>
      </c>
      <c r="N548">
        <v>0</v>
      </c>
      <c r="O548">
        <v>0</v>
      </c>
      <c r="P548">
        <v>0</v>
      </c>
      <c r="Q548">
        <v>0</v>
      </c>
      <c r="R548">
        <f t="shared" si="16"/>
        <v>0</v>
      </c>
      <c r="S548" t="s">
        <v>339</v>
      </c>
      <c r="T548">
        <v>47</v>
      </c>
      <c r="U548" t="str">
        <f t="shared" si="17"/>
        <v>Ruby Mace:1</v>
      </c>
    </row>
    <row r="549" spans="1:21" x14ac:dyDescent="0.2">
      <c r="A549" t="s">
        <v>200</v>
      </c>
      <c r="B549" t="s">
        <v>632</v>
      </c>
      <c r="C549" t="s">
        <v>633</v>
      </c>
      <c r="D549" t="s">
        <v>34</v>
      </c>
      <c r="E549" t="s">
        <v>37</v>
      </c>
      <c r="F549">
        <v>31</v>
      </c>
      <c r="G549">
        <v>1990</v>
      </c>
      <c r="H549">
        <v>17</v>
      </c>
      <c r="I549">
        <v>11</v>
      </c>
      <c r="J549">
        <v>995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4</v>
      </c>
      <c r="Q549">
        <v>0</v>
      </c>
      <c r="R549">
        <f t="shared" si="16"/>
        <v>0</v>
      </c>
      <c r="S549" t="s">
        <v>339</v>
      </c>
      <c r="T549">
        <v>21</v>
      </c>
      <c r="U549" t="str">
        <f t="shared" si="17"/>
        <v>Ruesha Littlejohn:0</v>
      </c>
    </row>
    <row r="550" spans="1:21" x14ac:dyDescent="0.2">
      <c r="A550" t="s">
        <v>179</v>
      </c>
      <c r="B550" t="s">
        <v>612</v>
      </c>
      <c r="C550" t="s">
        <v>613</v>
      </c>
      <c r="D550" t="s">
        <v>26</v>
      </c>
      <c r="E550" t="s">
        <v>20</v>
      </c>
      <c r="F550">
        <v>27</v>
      </c>
      <c r="G550">
        <v>1993</v>
      </c>
      <c r="H550">
        <v>20</v>
      </c>
      <c r="I550">
        <v>17</v>
      </c>
      <c r="J550">
        <v>1554</v>
      </c>
      <c r="K550">
        <v>20</v>
      </c>
      <c r="L550">
        <v>4</v>
      </c>
      <c r="M550">
        <v>20</v>
      </c>
      <c r="N550">
        <v>0</v>
      </c>
      <c r="O550">
        <v>0</v>
      </c>
      <c r="P550">
        <v>1</v>
      </c>
      <c r="Q550">
        <v>0</v>
      </c>
      <c r="R550">
        <f t="shared" si="16"/>
        <v>1.4300014300014298E-4</v>
      </c>
      <c r="S550" t="s">
        <v>339</v>
      </c>
      <c r="T550">
        <v>56</v>
      </c>
      <c r="U550" t="str">
        <f t="shared" si="17"/>
        <v>Sam Kerr:4</v>
      </c>
    </row>
    <row r="551" spans="1:21" x14ac:dyDescent="0.2">
      <c r="A551" t="s">
        <v>304</v>
      </c>
      <c r="B551" t="s">
        <v>606</v>
      </c>
      <c r="C551" t="s">
        <v>607</v>
      </c>
      <c r="D551" t="s">
        <v>94</v>
      </c>
      <c r="E551" t="s">
        <v>46</v>
      </c>
      <c r="F551">
        <v>22</v>
      </c>
      <c r="G551">
        <v>1998</v>
      </c>
      <c r="H551">
        <v>21</v>
      </c>
      <c r="I551">
        <v>21</v>
      </c>
      <c r="J551">
        <v>1854</v>
      </c>
      <c r="K551">
        <v>2</v>
      </c>
      <c r="L551">
        <v>0</v>
      </c>
      <c r="M551">
        <v>2</v>
      </c>
      <c r="N551">
        <v>0</v>
      </c>
      <c r="O551">
        <v>0</v>
      </c>
      <c r="P551">
        <v>6</v>
      </c>
      <c r="Q551">
        <v>0</v>
      </c>
      <c r="R551">
        <f t="shared" si="16"/>
        <v>1.198609612849095E-5</v>
      </c>
      <c r="S551" t="s">
        <v>339</v>
      </c>
      <c r="T551">
        <v>13</v>
      </c>
      <c r="U551" t="str">
        <f t="shared" si="17"/>
        <v>Samantha Tierney:0</v>
      </c>
    </row>
    <row r="552" spans="1:21" x14ac:dyDescent="0.2">
      <c r="A552" t="s">
        <v>205</v>
      </c>
      <c r="B552" t="s">
        <v>606</v>
      </c>
      <c r="C552" t="s">
        <v>607</v>
      </c>
      <c r="D552" t="s">
        <v>40</v>
      </c>
      <c r="E552" t="s">
        <v>55</v>
      </c>
      <c r="F552">
        <v>23</v>
      </c>
      <c r="G552">
        <v>1998</v>
      </c>
      <c r="H552">
        <v>18</v>
      </c>
      <c r="I552">
        <v>18</v>
      </c>
      <c r="J552">
        <v>1620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f t="shared" si="16"/>
        <v>0</v>
      </c>
      <c r="S552" t="s">
        <v>339</v>
      </c>
      <c r="T552">
        <v>20</v>
      </c>
      <c r="U552" t="str">
        <f t="shared" si="17"/>
        <v>Sandy MacIver:0</v>
      </c>
    </row>
    <row r="553" spans="1:21" x14ac:dyDescent="0.2">
      <c r="A553" t="s">
        <v>307</v>
      </c>
      <c r="B553" t="s">
        <v>620</v>
      </c>
      <c r="C553" t="s">
        <v>621</v>
      </c>
      <c r="D553" t="s">
        <v>34</v>
      </c>
      <c r="E553" t="s">
        <v>35</v>
      </c>
      <c r="F553">
        <v>32</v>
      </c>
      <c r="G553">
        <v>1988</v>
      </c>
      <c r="H553">
        <v>13</v>
      </c>
      <c r="I553">
        <v>10</v>
      </c>
      <c r="J553">
        <v>891</v>
      </c>
      <c r="K553">
        <v>0</v>
      </c>
      <c r="L553">
        <v>1</v>
      </c>
      <c r="M553">
        <v>0</v>
      </c>
      <c r="N553">
        <v>0</v>
      </c>
      <c r="O553">
        <v>0</v>
      </c>
      <c r="P553">
        <v>2</v>
      </c>
      <c r="Q553">
        <v>0</v>
      </c>
      <c r="R553">
        <f t="shared" si="16"/>
        <v>0</v>
      </c>
      <c r="S553" t="s">
        <v>339</v>
      </c>
      <c r="T553">
        <v>25</v>
      </c>
      <c r="U553" t="str">
        <f t="shared" si="17"/>
        <v>Sanne Troelsgaard Nielsen:1</v>
      </c>
    </row>
    <row r="554" spans="1:21" x14ac:dyDescent="0.2">
      <c r="A554" t="s">
        <v>365</v>
      </c>
      <c r="B554" t="s">
        <v>652</v>
      </c>
      <c r="C554" t="s">
        <v>653</v>
      </c>
      <c r="D554" t="s">
        <v>42</v>
      </c>
      <c r="E554" t="s">
        <v>360</v>
      </c>
      <c r="F554">
        <v>29</v>
      </c>
      <c r="G554">
        <v>1992</v>
      </c>
      <c r="H554">
        <v>11</v>
      </c>
      <c r="I554">
        <v>4</v>
      </c>
      <c r="J554">
        <v>380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f t="shared" si="16"/>
        <v>0</v>
      </c>
      <c r="S554" t="s">
        <v>339</v>
      </c>
      <c r="T554">
        <v>11</v>
      </c>
      <c r="U554" t="str">
        <f t="shared" si="17"/>
        <v>Sarah Ewens:0</v>
      </c>
    </row>
    <row r="555" spans="1:21" x14ac:dyDescent="0.2">
      <c r="A555" t="s">
        <v>212</v>
      </c>
      <c r="B555" t="s">
        <v>606</v>
      </c>
      <c r="C555" t="s">
        <v>607</v>
      </c>
      <c r="D555" t="s">
        <v>50</v>
      </c>
      <c r="E555" t="s">
        <v>37</v>
      </c>
      <c r="F555">
        <v>24</v>
      </c>
      <c r="G555">
        <v>1997</v>
      </c>
      <c r="H555">
        <v>21</v>
      </c>
      <c r="I555">
        <v>21</v>
      </c>
      <c r="J555">
        <v>1874</v>
      </c>
      <c r="K555">
        <v>1</v>
      </c>
      <c r="L555">
        <v>1</v>
      </c>
      <c r="M555">
        <v>1</v>
      </c>
      <c r="N555">
        <v>0</v>
      </c>
      <c r="O555">
        <v>0</v>
      </c>
      <c r="P555">
        <v>2</v>
      </c>
      <c r="Q555">
        <v>0</v>
      </c>
      <c r="R555">
        <f t="shared" si="16"/>
        <v>5.9290881062492593E-6</v>
      </c>
      <c r="S555" t="s">
        <v>339</v>
      </c>
      <c r="T555">
        <v>21</v>
      </c>
      <c r="U555" t="str">
        <f t="shared" si="17"/>
        <v>Sarah Mayling:1</v>
      </c>
    </row>
    <row r="556" spans="1:21" x14ac:dyDescent="0.2">
      <c r="A556" t="s">
        <v>379</v>
      </c>
      <c r="B556" t="s">
        <v>650</v>
      </c>
      <c r="C556" t="s">
        <v>651</v>
      </c>
      <c r="D556" t="s">
        <v>26</v>
      </c>
      <c r="E556" t="s">
        <v>37</v>
      </c>
      <c r="F556">
        <v>21</v>
      </c>
      <c r="G556">
        <v>1999</v>
      </c>
      <c r="H556">
        <v>13</v>
      </c>
      <c r="I556">
        <v>3</v>
      </c>
      <c r="J556">
        <v>420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1</v>
      </c>
      <c r="Q556">
        <v>0</v>
      </c>
      <c r="R556">
        <f t="shared" si="16"/>
        <v>0</v>
      </c>
      <c r="S556" t="s">
        <v>339</v>
      </c>
      <c r="T556">
        <v>21</v>
      </c>
      <c r="U556" t="str">
        <f t="shared" si="17"/>
        <v>Shania Hayles:0</v>
      </c>
    </row>
    <row r="557" spans="1:21" x14ac:dyDescent="0.2">
      <c r="A557" t="s">
        <v>234</v>
      </c>
      <c r="B557" t="s">
        <v>606</v>
      </c>
      <c r="C557" t="s">
        <v>607</v>
      </c>
      <c r="D557" t="s">
        <v>23</v>
      </c>
      <c r="E557" t="s">
        <v>46</v>
      </c>
      <c r="F557">
        <v>19</v>
      </c>
      <c r="G557">
        <v>2001</v>
      </c>
      <c r="H557">
        <v>21</v>
      </c>
      <c r="I557">
        <v>21</v>
      </c>
      <c r="J557">
        <v>1718</v>
      </c>
      <c r="K557">
        <v>1</v>
      </c>
      <c r="L557">
        <v>2</v>
      </c>
      <c r="M557">
        <v>1</v>
      </c>
      <c r="N557">
        <v>0</v>
      </c>
      <c r="O557">
        <v>0</v>
      </c>
      <c r="P557">
        <v>4</v>
      </c>
      <c r="Q557">
        <v>0</v>
      </c>
      <c r="R557">
        <f t="shared" si="16"/>
        <v>6.4674686327771308E-6</v>
      </c>
      <c r="S557" t="s">
        <v>339</v>
      </c>
      <c r="T557">
        <v>13</v>
      </c>
      <c r="U557" t="str">
        <f t="shared" si="17"/>
        <v>Shannon O’Brien:2</v>
      </c>
    </row>
    <row r="558" spans="1:21" x14ac:dyDescent="0.2">
      <c r="A558" t="s">
        <v>334</v>
      </c>
      <c r="B558" t="s">
        <v>608</v>
      </c>
      <c r="C558" t="s">
        <v>609</v>
      </c>
      <c r="D558" t="s">
        <v>50</v>
      </c>
      <c r="E558" t="s">
        <v>30</v>
      </c>
      <c r="F558">
        <v>28</v>
      </c>
      <c r="G558">
        <v>1992</v>
      </c>
      <c r="H558">
        <v>21</v>
      </c>
      <c r="I558">
        <v>21</v>
      </c>
      <c r="J558">
        <v>1837</v>
      </c>
      <c r="K558">
        <v>1</v>
      </c>
      <c r="L558">
        <v>0</v>
      </c>
      <c r="M558">
        <v>1</v>
      </c>
      <c r="N558">
        <v>0</v>
      </c>
      <c r="O558">
        <v>0</v>
      </c>
      <c r="P558">
        <v>2</v>
      </c>
      <c r="Q558">
        <v>0</v>
      </c>
      <c r="R558">
        <f t="shared" si="16"/>
        <v>6.0485090425210195E-6</v>
      </c>
      <c r="S558" t="s">
        <v>339</v>
      </c>
      <c r="T558">
        <v>32</v>
      </c>
      <c r="U558" t="str">
        <f t="shared" si="17"/>
        <v>Shelina Zadorsky:0</v>
      </c>
    </row>
    <row r="559" spans="1:21" x14ac:dyDescent="0.2">
      <c r="A559" t="s">
        <v>402</v>
      </c>
      <c r="B559" t="s">
        <v>606</v>
      </c>
      <c r="C559" t="s">
        <v>607</v>
      </c>
      <c r="D559" t="s">
        <v>40</v>
      </c>
      <c r="E559" t="s">
        <v>37</v>
      </c>
      <c r="F559">
        <v>23</v>
      </c>
      <c r="G559">
        <v>1998</v>
      </c>
      <c r="H559">
        <v>3</v>
      </c>
      <c r="I559">
        <v>2</v>
      </c>
      <c r="J559">
        <v>207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f t="shared" si="16"/>
        <v>0</v>
      </c>
      <c r="S559" t="s">
        <v>339</v>
      </c>
      <c r="T559">
        <v>21</v>
      </c>
      <c r="U559" t="str">
        <f t="shared" si="17"/>
        <v>Sian Rogers:0</v>
      </c>
    </row>
    <row r="560" spans="1:21" x14ac:dyDescent="0.2">
      <c r="A560" t="s">
        <v>353</v>
      </c>
      <c r="B560" t="s">
        <v>620</v>
      </c>
      <c r="C560" t="s">
        <v>621</v>
      </c>
      <c r="D560" t="s">
        <v>42</v>
      </c>
      <c r="E560" t="s">
        <v>52</v>
      </c>
      <c r="F560">
        <v>23</v>
      </c>
      <c r="G560">
        <v>1998</v>
      </c>
      <c r="H560">
        <v>5</v>
      </c>
      <c r="I560">
        <v>2</v>
      </c>
      <c r="J560">
        <v>192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f t="shared" si="16"/>
        <v>0</v>
      </c>
      <c r="S560" t="s">
        <v>339</v>
      </c>
      <c r="T560">
        <v>42</v>
      </c>
      <c r="U560" t="str">
        <f t="shared" si="17"/>
        <v>Signe Bruun:0</v>
      </c>
    </row>
    <row r="561" spans="1:21" x14ac:dyDescent="0.2">
      <c r="A561" t="s">
        <v>351</v>
      </c>
      <c r="B561" t="s">
        <v>620</v>
      </c>
      <c r="C561" t="s">
        <v>621</v>
      </c>
      <c r="D561" t="s">
        <v>50</v>
      </c>
      <c r="E561" t="s">
        <v>27</v>
      </c>
      <c r="F561">
        <v>29</v>
      </c>
      <c r="G561">
        <v>1992</v>
      </c>
      <c r="H561">
        <v>5</v>
      </c>
      <c r="I561">
        <v>2</v>
      </c>
      <c r="J561">
        <v>161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f t="shared" si="16"/>
        <v>0</v>
      </c>
      <c r="S561" t="s">
        <v>339</v>
      </c>
      <c r="T561">
        <v>55</v>
      </c>
      <c r="U561" t="str">
        <f t="shared" si="17"/>
        <v>Simone Boye Sørensen:0</v>
      </c>
    </row>
    <row r="562" spans="1:21" x14ac:dyDescent="0.2">
      <c r="A562" t="s">
        <v>206</v>
      </c>
      <c r="B562" t="s">
        <v>646</v>
      </c>
      <c r="C562" t="s">
        <v>647</v>
      </c>
      <c r="D562" t="s">
        <v>42</v>
      </c>
      <c r="E562" t="s">
        <v>55</v>
      </c>
      <c r="F562">
        <v>26</v>
      </c>
      <c r="G562">
        <v>1994</v>
      </c>
      <c r="H562">
        <v>14</v>
      </c>
      <c r="I562">
        <v>5</v>
      </c>
      <c r="J562">
        <v>547</v>
      </c>
      <c r="K562">
        <v>2</v>
      </c>
      <c r="L562">
        <v>1</v>
      </c>
      <c r="M562">
        <v>2</v>
      </c>
      <c r="N562">
        <v>0</v>
      </c>
      <c r="O562">
        <v>0</v>
      </c>
      <c r="P562">
        <v>0</v>
      </c>
      <c r="Q562">
        <v>0</v>
      </c>
      <c r="R562">
        <f t="shared" si="16"/>
        <v>4.0625634775543366E-5</v>
      </c>
      <c r="S562" t="s">
        <v>339</v>
      </c>
      <c r="T562">
        <v>20</v>
      </c>
      <c r="U562" t="str">
        <f t="shared" si="17"/>
        <v>Simone Magill:1</v>
      </c>
    </row>
    <row r="563" spans="1:21" x14ac:dyDescent="0.2">
      <c r="A563" t="s">
        <v>347</v>
      </c>
      <c r="B563" t="s">
        <v>606</v>
      </c>
      <c r="C563" t="s">
        <v>607</v>
      </c>
      <c r="D563" t="s">
        <v>94</v>
      </c>
      <c r="E563" t="s">
        <v>46</v>
      </c>
      <c r="F563">
        <v>30</v>
      </c>
      <c r="G563">
        <v>1990</v>
      </c>
      <c r="H563">
        <v>13</v>
      </c>
      <c r="I563">
        <v>8</v>
      </c>
      <c r="J563">
        <v>702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f t="shared" si="16"/>
        <v>0</v>
      </c>
      <c r="S563" t="s">
        <v>339</v>
      </c>
      <c r="T563">
        <v>13</v>
      </c>
      <c r="U563" t="str">
        <f t="shared" si="17"/>
        <v>Sophie Barker:0</v>
      </c>
    </row>
    <row r="564" spans="1:21" x14ac:dyDescent="0.2">
      <c r="A564" t="s">
        <v>378</v>
      </c>
      <c r="B564" t="s">
        <v>606</v>
      </c>
      <c r="C564" t="s">
        <v>607</v>
      </c>
      <c r="D564" t="s">
        <v>40</v>
      </c>
      <c r="E564" t="s">
        <v>46</v>
      </c>
      <c r="F564">
        <v>26</v>
      </c>
      <c r="G564">
        <v>1994</v>
      </c>
      <c r="H564">
        <v>1</v>
      </c>
      <c r="I564">
        <v>1</v>
      </c>
      <c r="J564">
        <v>90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f t="shared" si="16"/>
        <v>0</v>
      </c>
      <c r="S564" t="s">
        <v>339</v>
      </c>
      <c r="T564">
        <v>13</v>
      </c>
      <c r="U564" t="str">
        <f t="shared" si="17"/>
        <v>Sophie Harris:0</v>
      </c>
    </row>
    <row r="565" spans="1:21" x14ac:dyDescent="0.2">
      <c r="A565" t="s">
        <v>163</v>
      </c>
      <c r="B565" t="s">
        <v>652</v>
      </c>
      <c r="C565" t="s">
        <v>653</v>
      </c>
      <c r="D565" t="s">
        <v>50</v>
      </c>
      <c r="E565" t="s">
        <v>46</v>
      </c>
      <c r="F565">
        <v>27</v>
      </c>
      <c r="G565">
        <v>1993</v>
      </c>
      <c r="H565">
        <v>21</v>
      </c>
      <c r="I565">
        <v>17</v>
      </c>
      <c r="J565">
        <v>1664</v>
      </c>
      <c r="K565">
        <v>1</v>
      </c>
      <c r="L565">
        <v>0</v>
      </c>
      <c r="M565">
        <v>1</v>
      </c>
      <c r="N565">
        <v>0</v>
      </c>
      <c r="O565">
        <v>0</v>
      </c>
      <c r="P565">
        <v>0</v>
      </c>
      <c r="Q565">
        <v>0</v>
      </c>
      <c r="R565">
        <f t="shared" si="16"/>
        <v>6.6773504273504273E-6</v>
      </c>
      <c r="S565" t="s">
        <v>339</v>
      </c>
      <c r="T565">
        <v>13</v>
      </c>
      <c r="U565" t="str">
        <f t="shared" si="17"/>
        <v>Sophie Howard:0</v>
      </c>
    </row>
    <row r="566" spans="1:21" x14ac:dyDescent="0.2">
      <c r="A566" t="s">
        <v>167</v>
      </c>
      <c r="B566" t="s">
        <v>624</v>
      </c>
      <c r="C566" t="s">
        <v>625</v>
      </c>
      <c r="D566" t="s">
        <v>34</v>
      </c>
      <c r="E566" t="s">
        <v>20</v>
      </c>
      <c r="F566">
        <v>29</v>
      </c>
      <c r="G566">
        <v>1991</v>
      </c>
      <c r="H566">
        <v>19</v>
      </c>
      <c r="I566">
        <v>16</v>
      </c>
      <c r="J566">
        <v>1446</v>
      </c>
      <c r="K566">
        <v>0</v>
      </c>
      <c r="L566">
        <v>1</v>
      </c>
      <c r="M566">
        <v>0</v>
      </c>
      <c r="N566">
        <v>0</v>
      </c>
      <c r="O566">
        <v>0</v>
      </c>
      <c r="P566">
        <v>2</v>
      </c>
      <c r="Q566">
        <v>0</v>
      </c>
      <c r="R566">
        <f t="shared" si="16"/>
        <v>0</v>
      </c>
      <c r="S566" t="s">
        <v>339</v>
      </c>
      <c r="T566">
        <v>56</v>
      </c>
      <c r="U566" t="str">
        <f t="shared" si="17"/>
        <v>Sophie Ingle:1</v>
      </c>
    </row>
    <row r="567" spans="1:21" x14ac:dyDescent="0.2">
      <c r="A567" t="s">
        <v>87</v>
      </c>
      <c r="B567" t="s">
        <v>612</v>
      </c>
      <c r="C567" t="s">
        <v>613</v>
      </c>
      <c r="D567" t="s">
        <v>50</v>
      </c>
      <c r="E567" t="s">
        <v>27</v>
      </c>
      <c r="F567">
        <v>27</v>
      </c>
      <c r="G567">
        <v>1994</v>
      </c>
      <c r="H567">
        <v>18</v>
      </c>
      <c r="I567">
        <v>14</v>
      </c>
      <c r="J567">
        <v>1291</v>
      </c>
      <c r="K567">
        <v>1</v>
      </c>
      <c r="L567">
        <v>4</v>
      </c>
      <c r="M567">
        <v>1</v>
      </c>
      <c r="N567">
        <v>0</v>
      </c>
      <c r="O567">
        <v>0</v>
      </c>
      <c r="P567">
        <v>0</v>
      </c>
      <c r="Q567">
        <v>0</v>
      </c>
      <c r="R567">
        <f t="shared" si="16"/>
        <v>8.6065926499698779E-6</v>
      </c>
      <c r="S567" t="s">
        <v>339</v>
      </c>
      <c r="T567">
        <v>55</v>
      </c>
      <c r="U567" t="str">
        <f t="shared" si="17"/>
        <v>Steph Catley:4</v>
      </c>
    </row>
    <row r="568" spans="1:21" x14ac:dyDescent="0.2">
      <c r="A568" t="s">
        <v>161</v>
      </c>
      <c r="B568" t="s">
        <v>606</v>
      </c>
      <c r="C568" t="s">
        <v>607</v>
      </c>
      <c r="D568" t="s">
        <v>50</v>
      </c>
      <c r="E568" t="s">
        <v>32</v>
      </c>
      <c r="F568">
        <v>33</v>
      </c>
      <c r="G568">
        <v>1988</v>
      </c>
      <c r="H568">
        <v>5</v>
      </c>
      <c r="I568">
        <v>4</v>
      </c>
      <c r="J568">
        <v>364</v>
      </c>
      <c r="K568">
        <v>1</v>
      </c>
      <c r="L568">
        <v>0</v>
      </c>
      <c r="M568">
        <v>1</v>
      </c>
      <c r="N568">
        <v>0</v>
      </c>
      <c r="O568">
        <v>0</v>
      </c>
      <c r="P568">
        <v>0</v>
      </c>
      <c r="Q568">
        <v>0</v>
      </c>
      <c r="R568">
        <f t="shared" si="16"/>
        <v>3.0525030525030525E-5</v>
      </c>
      <c r="S568" t="s">
        <v>339</v>
      </c>
      <c r="T568">
        <v>47</v>
      </c>
      <c r="U568" t="str">
        <f t="shared" si="17"/>
        <v>Steph Houghton:0</v>
      </c>
    </row>
    <row r="569" spans="1:21" x14ac:dyDescent="0.2">
      <c r="A569" t="s">
        <v>60</v>
      </c>
      <c r="B569" t="s">
        <v>658</v>
      </c>
      <c r="C569" t="s">
        <v>659</v>
      </c>
      <c r="D569" t="s">
        <v>26</v>
      </c>
      <c r="E569" t="s">
        <v>27</v>
      </c>
      <c r="F569">
        <v>25</v>
      </c>
      <c r="G569">
        <v>1996</v>
      </c>
      <c r="H569">
        <v>11</v>
      </c>
      <c r="I569">
        <v>7</v>
      </c>
      <c r="J569">
        <v>631</v>
      </c>
      <c r="K569">
        <v>6</v>
      </c>
      <c r="L569">
        <v>1</v>
      </c>
      <c r="M569">
        <v>6</v>
      </c>
      <c r="N569">
        <v>0</v>
      </c>
      <c r="O569">
        <v>0</v>
      </c>
      <c r="P569">
        <v>0</v>
      </c>
      <c r="Q569">
        <v>0</v>
      </c>
      <c r="R569">
        <f t="shared" si="16"/>
        <v>1.0565240359218173E-4</v>
      </c>
      <c r="S569" t="s">
        <v>339</v>
      </c>
      <c r="T569">
        <v>55</v>
      </c>
      <c r="U569" t="str">
        <f t="shared" si="17"/>
        <v>Stina Blackstenius:1</v>
      </c>
    </row>
    <row r="570" spans="1:21" x14ac:dyDescent="0.2">
      <c r="A570" t="s">
        <v>423</v>
      </c>
      <c r="B570" t="s">
        <v>612</v>
      </c>
      <c r="C570" t="s">
        <v>613</v>
      </c>
      <c r="D570" t="s">
        <v>23</v>
      </c>
      <c r="E570" t="s">
        <v>24</v>
      </c>
      <c r="F570">
        <v>30</v>
      </c>
      <c r="G570">
        <v>1991</v>
      </c>
      <c r="H570">
        <v>16</v>
      </c>
      <c r="I570">
        <v>13</v>
      </c>
      <c r="J570">
        <v>1204</v>
      </c>
      <c r="K570">
        <v>1</v>
      </c>
      <c r="L570">
        <v>0</v>
      </c>
      <c r="M570">
        <v>1</v>
      </c>
      <c r="N570">
        <v>0</v>
      </c>
      <c r="O570">
        <v>0</v>
      </c>
      <c r="P570">
        <v>1</v>
      </c>
      <c r="Q570">
        <v>0</v>
      </c>
      <c r="R570">
        <f t="shared" si="16"/>
        <v>9.2284976005906238E-6</v>
      </c>
      <c r="S570" t="s">
        <v>339</v>
      </c>
      <c r="T570">
        <v>27</v>
      </c>
      <c r="U570" t="str">
        <f t="shared" si="17"/>
        <v>Tameka Yallop:0</v>
      </c>
    </row>
    <row r="571" spans="1:21" x14ac:dyDescent="0.2">
      <c r="A571" t="s">
        <v>385</v>
      </c>
      <c r="B571" t="s">
        <v>676</v>
      </c>
      <c r="C571" t="s">
        <v>677</v>
      </c>
      <c r="D571" t="s">
        <v>26</v>
      </c>
      <c r="E571" t="s">
        <v>30</v>
      </c>
      <c r="F571">
        <v>26</v>
      </c>
      <c r="G571">
        <v>1995</v>
      </c>
      <c r="H571">
        <v>10</v>
      </c>
      <c r="I571">
        <v>2</v>
      </c>
      <c r="J571">
        <v>262</v>
      </c>
      <c r="K571">
        <v>0</v>
      </c>
      <c r="L571">
        <v>1</v>
      </c>
      <c r="M571">
        <v>0</v>
      </c>
      <c r="N571">
        <v>0</v>
      </c>
      <c r="O571">
        <v>0</v>
      </c>
      <c r="P571">
        <v>0</v>
      </c>
      <c r="Q571">
        <v>0</v>
      </c>
      <c r="R571">
        <f t="shared" si="16"/>
        <v>0</v>
      </c>
      <c r="S571" t="s">
        <v>339</v>
      </c>
      <c r="T571">
        <v>32</v>
      </c>
      <c r="U571" t="str">
        <f t="shared" si="17"/>
        <v>Tang Jiali:1</v>
      </c>
    </row>
    <row r="572" spans="1:21" x14ac:dyDescent="0.2">
      <c r="A572" t="s">
        <v>136</v>
      </c>
      <c r="B572" t="s">
        <v>606</v>
      </c>
      <c r="C572" t="s">
        <v>607</v>
      </c>
      <c r="D572" t="s">
        <v>50</v>
      </c>
      <c r="E572" t="s">
        <v>27</v>
      </c>
      <c r="F572">
        <v>17</v>
      </c>
      <c r="G572">
        <v>2004</v>
      </c>
      <c r="H572">
        <v>1</v>
      </c>
      <c r="I572">
        <v>0</v>
      </c>
      <c r="J572">
        <v>5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f t="shared" si="16"/>
        <v>0</v>
      </c>
      <c r="S572" t="s">
        <v>339</v>
      </c>
      <c r="T572">
        <v>55</v>
      </c>
      <c r="U572" t="str">
        <f t="shared" si="17"/>
        <v>Teyah Goldie:0</v>
      </c>
    </row>
    <row r="573" spans="1:21" x14ac:dyDescent="0.2">
      <c r="A573" t="s">
        <v>251</v>
      </c>
      <c r="B573" t="s">
        <v>606</v>
      </c>
      <c r="C573" t="s">
        <v>607</v>
      </c>
      <c r="D573" t="s">
        <v>23</v>
      </c>
      <c r="E573" t="s">
        <v>35</v>
      </c>
      <c r="F573">
        <v>17</v>
      </c>
      <c r="G573">
        <v>2004</v>
      </c>
      <c r="H573">
        <v>10</v>
      </c>
      <c r="I573">
        <v>3</v>
      </c>
      <c r="J573">
        <v>214</v>
      </c>
      <c r="K573">
        <v>1</v>
      </c>
      <c r="L573">
        <v>0</v>
      </c>
      <c r="M573">
        <v>1</v>
      </c>
      <c r="N573">
        <v>0</v>
      </c>
      <c r="O573">
        <v>0</v>
      </c>
      <c r="P573">
        <v>2</v>
      </c>
      <c r="Q573">
        <v>0</v>
      </c>
      <c r="R573">
        <f t="shared" si="16"/>
        <v>5.1921079958463129E-5</v>
      </c>
      <c r="S573" t="s">
        <v>339</v>
      </c>
      <c r="T573">
        <v>25</v>
      </c>
      <c r="U573" t="str">
        <f t="shared" si="17"/>
        <v>Tia Primmer:0</v>
      </c>
    </row>
    <row r="574" spans="1:21" x14ac:dyDescent="0.2">
      <c r="A574" t="s">
        <v>184</v>
      </c>
      <c r="B574" t="s">
        <v>656</v>
      </c>
      <c r="C574" t="s">
        <v>657</v>
      </c>
      <c r="D574" t="s">
        <v>40</v>
      </c>
      <c r="E574" t="s">
        <v>30</v>
      </c>
      <c r="F574">
        <v>35</v>
      </c>
      <c r="G574">
        <v>1986</v>
      </c>
      <c r="H574">
        <v>11</v>
      </c>
      <c r="I574">
        <v>11</v>
      </c>
      <c r="J574">
        <v>990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f t="shared" si="16"/>
        <v>0</v>
      </c>
      <c r="S574" t="s">
        <v>339</v>
      </c>
      <c r="T574">
        <v>32</v>
      </c>
      <c r="U574" t="str">
        <f t="shared" si="17"/>
        <v>Tinja-Riikka Korpela:0</v>
      </c>
    </row>
    <row r="575" spans="1:21" x14ac:dyDescent="0.2">
      <c r="A575" t="s">
        <v>380</v>
      </c>
      <c r="B575" t="s">
        <v>638</v>
      </c>
      <c r="C575" t="s">
        <v>639</v>
      </c>
      <c r="D575" t="s">
        <v>42</v>
      </c>
      <c r="E575" t="s">
        <v>27</v>
      </c>
      <c r="F575">
        <v>33</v>
      </c>
      <c r="G575">
        <v>1988</v>
      </c>
      <c r="H575">
        <v>9</v>
      </c>
      <c r="I575">
        <v>3</v>
      </c>
      <c r="J575">
        <v>295</v>
      </c>
      <c r="K575">
        <v>2</v>
      </c>
      <c r="L575">
        <v>1</v>
      </c>
      <c r="M575">
        <v>2</v>
      </c>
      <c r="N575">
        <v>0</v>
      </c>
      <c r="O575">
        <v>0</v>
      </c>
      <c r="P575">
        <v>0</v>
      </c>
      <c r="Q575">
        <v>0</v>
      </c>
      <c r="R575">
        <f t="shared" si="16"/>
        <v>7.5329566854990583E-5</v>
      </c>
      <c r="S575" t="s">
        <v>339</v>
      </c>
      <c r="T575">
        <v>55</v>
      </c>
      <c r="U575" t="str">
        <f t="shared" si="17"/>
        <v>Tobin Heath:1</v>
      </c>
    </row>
    <row r="576" spans="1:21" x14ac:dyDescent="0.2">
      <c r="A576" t="s">
        <v>363</v>
      </c>
      <c r="B576" t="s">
        <v>606</v>
      </c>
      <c r="C576" t="s">
        <v>607</v>
      </c>
      <c r="D576" t="s">
        <v>26</v>
      </c>
      <c r="E576" t="s">
        <v>55</v>
      </c>
      <c r="F576">
        <v>30</v>
      </c>
      <c r="G576">
        <v>1991</v>
      </c>
      <c r="H576">
        <v>22</v>
      </c>
      <c r="I576">
        <v>18</v>
      </c>
      <c r="J576">
        <v>1538</v>
      </c>
      <c r="K576">
        <v>2</v>
      </c>
      <c r="L576">
        <v>1</v>
      </c>
      <c r="M576">
        <v>2</v>
      </c>
      <c r="N576">
        <v>0</v>
      </c>
      <c r="O576">
        <v>0</v>
      </c>
      <c r="P576">
        <v>0</v>
      </c>
      <c r="Q576">
        <v>0</v>
      </c>
      <c r="R576">
        <f t="shared" si="16"/>
        <v>1.4448779078167896E-5</v>
      </c>
      <c r="S576" t="s">
        <v>339</v>
      </c>
      <c r="T576">
        <v>20</v>
      </c>
      <c r="U576" t="str">
        <f t="shared" si="17"/>
        <v>Toni Duggan:1</v>
      </c>
    </row>
    <row r="577" spans="1:21" x14ac:dyDescent="0.2">
      <c r="A577" t="s">
        <v>371</v>
      </c>
      <c r="B577" t="s">
        <v>610</v>
      </c>
      <c r="C577" t="s">
        <v>611</v>
      </c>
      <c r="D577" t="s">
        <v>26</v>
      </c>
      <c r="E577" t="s">
        <v>55</v>
      </c>
      <c r="F577">
        <v>25</v>
      </c>
      <c r="G577">
        <v>1996</v>
      </c>
      <c r="H577">
        <v>12</v>
      </c>
      <c r="I577">
        <v>3</v>
      </c>
      <c r="J577">
        <v>371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f t="shared" si="16"/>
        <v>0</v>
      </c>
      <c r="S577" t="s">
        <v>339</v>
      </c>
      <c r="T577">
        <v>20</v>
      </c>
      <c r="U577" t="str">
        <f t="shared" si="17"/>
        <v>Valérie Gauvin:0</v>
      </c>
    </row>
    <row r="578" spans="1:21" x14ac:dyDescent="0.2">
      <c r="A578" t="s">
        <v>270</v>
      </c>
      <c r="B578" t="s">
        <v>674</v>
      </c>
      <c r="C578" t="s">
        <v>675</v>
      </c>
      <c r="D578" t="s">
        <v>23</v>
      </c>
      <c r="E578" t="s">
        <v>360</v>
      </c>
      <c r="F578">
        <v>23</v>
      </c>
      <c r="G578">
        <v>1998</v>
      </c>
      <c r="H578">
        <v>21</v>
      </c>
      <c r="I578">
        <v>19</v>
      </c>
      <c r="J578">
        <v>1649</v>
      </c>
      <c r="K578">
        <v>3</v>
      </c>
      <c r="L578">
        <v>2</v>
      </c>
      <c r="M578">
        <v>3</v>
      </c>
      <c r="N578">
        <v>0</v>
      </c>
      <c r="O578">
        <v>0</v>
      </c>
      <c r="P578">
        <v>2</v>
      </c>
      <c r="Q578">
        <v>0</v>
      </c>
      <c r="R578">
        <f t="shared" si="16"/>
        <v>2.0214271275520517E-5</v>
      </c>
      <c r="S578" t="s">
        <v>339</v>
      </c>
      <c r="T578">
        <v>11</v>
      </c>
      <c r="U578" t="str">
        <f t="shared" si="17"/>
        <v>Veatriki Sarri:2</v>
      </c>
    </row>
    <row r="579" spans="1:21" x14ac:dyDescent="0.2">
      <c r="A579" t="s">
        <v>202</v>
      </c>
      <c r="B579" t="s">
        <v>666</v>
      </c>
      <c r="C579" t="s">
        <v>667</v>
      </c>
      <c r="D579" t="s">
        <v>34</v>
      </c>
      <c r="E579" t="s">
        <v>32</v>
      </c>
      <c r="F579">
        <v>30</v>
      </c>
      <c r="G579">
        <v>1991</v>
      </c>
      <c r="H579">
        <v>12</v>
      </c>
      <c r="I579">
        <v>6</v>
      </c>
      <c r="J579">
        <v>592</v>
      </c>
      <c r="K579">
        <v>3</v>
      </c>
      <c r="L579">
        <v>1</v>
      </c>
      <c r="M579">
        <v>3</v>
      </c>
      <c r="N579">
        <v>0</v>
      </c>
      <c r="O579">
        <v>0</v>
      </c>
      <c r="P579">
        <v>0</v>
      </c>
      <c r="Q579">
        <v>0</v>
      </c>
      <c r="R579">
        <f t="shared" ref="R579:R642" si="18">K579/J579/90</f>
        <v>5.6306306306306307E-5</v>
      </c>
      <c r="S579" t="s">
        <v>339</v>
      </c>
      <c r="T579">
        <v>47</v>
      </c>
      <c r="U579" t="str">
        <f t="shared" ref="U579:U642" si="19">CONCATENATE(A579, ":", L579)</f>
        <v>Vicky Losada:1</v>
      </c>
    </row>
    <row r="580" spans="1:21" x14ac:dyDescent="0.2">
      <c r="A580" t="s">
        <v>329</v>
      </c>
      <c r="B580" t="s">
        <v>650</v>
      </c>
      <c r="C580" t="s">
        <v>651</v>
      </c>
      <c r="D580" t="s">
        <v>50</v>
      </c>
      <c r="E580" t="s">
        <v>48</v>
      </c>
      <c r="F580">
        <v>31</v>
      </c>
      <c r="G580">
        <v>1990</v>
      </c>
      <c r="H580">
        <v>21</v>
      </c>
      <c r="I580">
        <v>21</v>
      </c>
      <c r="J580">
        <v>1801</v>
      </c>
      <c r="K580">
        <v>2</v>
      </c>
      <c r="L580">
        <v>1</v>
      </c>
      <c r="M580">
        <v>2</v>
      </c>
      <c r="N580">
        <v>0</v>
      </c>
      <c r="O580">
        <v>0</v>
      </c>
      <c r="P580">
        <v>3</v>
      </c>
      <c r="Q580">
        <v>0</v>
      </c>
      <c r="R580">
        <f t="shared" si="18"/>
        <v>1.2338824110062313E-5</v>
      </c>
      <c r="S580" t="s">
        <v>339</v>
      </c>
      <c r="T580">
        <v>26</v>
      </c>
      <c r="U580" t="str">
        <f t="shared" si="19"/>
        <v>Victoria Williams:1</v>
      </c>
    </row>
    <row r="581" spans="1:21" x14ac:dyDescent="0.2">
      <c r="A581" t="s">
        <v>406</v>
      </c>
      <c r="B581" t="s">
        <v>668</v>
      </c>
      <c r="C581" t="s">
        <v>669</v>
      </c>
      <c r="D581" t="s">
        <v>29</v>
      </c>
      <c r="E581" t="s">
        <v>27</v>
      </c>
      <c r="F581">
        <v>30</v>
      </c>
      <c r="G581">
        <v>1991</v>
      </c>
      <c r="H581">
        <v>2</v>
      </c>
      <c r="I581">
        <v>0</v>
      </c>
      <c r="J581">
        <v>32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f t="shared" si="18"/>
        <v>0</v>
      </c>
      <c r="S581" t="s">
        <v>339</v>
      </c>
      <c r="T581">
        <v>55</v>
      </c>
      <c r="U581" t="str">
        <f t="shared" si="19"/>
        <v>Viktoria Schnaderbeck:0</v>
      </c>
    </row>
    <row r="582" spans="1:21" x14ac:dyDescent="0.2">
      <c r="A582" t="s">
        <v>406</v>
      </c>
      <c r="B582" t="s">
        <v>668</v>
      </c>
      <c r="C582" t="s">
        <v>669</v>
      </c>
      <c r="D582" t="s">
        <v>50</v>
      </c>
      <c r="E582" t="s">
        <v>30</v>
      </c>
      <c r="F582">
        <v>30</v>
      </c>
      <c r="G582">
        <v>1991</v>
      </c>
      <c r="H582">
        <v>4</v>
      </c>
      <c r="I582">
        <v>3</v>
      </c>
      <c r="J582">
        <v>241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f t="shared" si="18"/>
        <v>0</v>
      </c>
      <c r="S582" t="s">
        <v>339</v>
      </c>
      <c r="T582">
        <v>32</v>
      </c>
      <c r="U582" t="str">
        <f t="shared" si="19"/>
        <v>Viktoria Schnaderbeck:0</v>
      </c>
    </row>
    <row r="583" spans="1:21" x14ac:dyDescent="0.2">
      <c r="A583" t="s">
        <v>77</v>
      </c>
      <c r="B583" t="s">
        <v>618</v>
      </c>
      <c r="C583" t="s">
        <v>619</v>
      </c>
      <c r="D583" t="s">
        <v>23</v>
      </c>
      <c r="E583" t="s">
        <v>52</v>
      </c>
      <c r="F583">
        <v>26</v>
      </c>
      <c r="G583">
        <v>1995</v>
      </c>
      <c r="H583">
        <v>17</v>
      </c>
      <c r="I583">
        <v>8</v>
      </c>
      <c r="J583">
        <v>702</v>
      </c>
      <c r="K583">
        <v>2</v>
      </c>
      <c r="L583">
        <v>1</v>
      </c>
      <c r="M583">
        <v>2</v>
      </c>
      <c r="N583">
        <v>0</v>
      </c>
      <c r="O583">
        <v>0</v>
      </c>
      <c r="P583">
        <v>0</v>
      </c>
      <c r="Q583">
        <v>0</v>
      </c>
      <c r="R583">
        <f t="shared" si="18"/>
        <v>3.1655587211142769E-5</v>
      </c>
      <c r="S583" t="s">
        <v>339</v>
      </c>
      <c r="T583">
        <v>42</v>
      </c>
      <c r="U583" t="str">
        <f t="shared" si="19"/>
        <v>Vilde Bøe Risa:1</v>
      </c>
    </row>
    <row r="584" spans="1:21" x14ac:dyDescent="0.2">
      <c r="A584" t="s">
        <v>217</v>
      </c>
      <c r="B584" t="s">
        <v>626</v>
      </c>
      <c r="C584" t="s">
        <v>627</v>
      </c>
      <c r="D584" t="s">
        <v>42</v>
      </c>
      <c r="E584" t="s">
        <v>27</v>
      </c>
      <c r="F584">
        <v>25</v>
      </c>
      <c r="G584">
        <v>1996</v>
      </c>
      <c r="H584">
        <v>22</v>
      </c>
      <c r="I584">
        <v>21</v>
      </c>
      <c r="J584">
        <v>1731</v>
      </c>
      <c r="K584">
        <v>14</v>
      </c>
      <c r="L584">
        <v>8</v>
      </c>
      <c r="M584">
        <v>14</v>
      </c>
      <c r="N584">
        <v>0</v>
      </c>
      <c r="O584">
        <v>0</v>
      </c>
      <c r="P584">
        <v>3</v>
      </c>
      <c r="Q584">
        <v>0</v>
      </c>
      <c r="R584">
        <f t="shared" si="18"/>
        <v>8.9864561268374095E-5</v>
      </c>
      <c r="S584" t="s">
        <v>339</v>
      </c>
      <c r="T584">
        <v>55</v>
      </c>
      <c r="U584" t="str">
        <f t="shared" si="19"/>
        <v>Vivianne Miedema:8</v>
      </c>
    </row>
    <row r="585" spans="1:21" x14ac:dyDescent="0.2">
      <c r="A585" t="s">
        <v>152</v>
      </c>
      <c r="B585" t="s">
        <v>660</v>
      </c>
      <c r="C585" t="s">
        <v>661</v>
      </c>
      <c r="D585" t="s">
        <v>23</v>
      </c>
      <c r="E585" t="s">
        <v>24</v>
      </c>
      <c r="F585">
        <v>24</v>
      </c>
      <c r="G585">
        <v>1997</v>
      </c>
      <c r="H585">
        <v>17</v>
      </c>
      <c r="I585">
        <v>16</v>
      </c>
      <c r="J585">
        <v>1459</v>
      </c>
      <c r="K585">
        <v>2</v>
      </c>
      <c r="L585">
        <v>2</v>
      </c>
      <c r="M585">
        <v>2</v>
      </c>
      <c r="N585">
        <v>0</v>
      </c>
      <c r="O585">
        <v>0</v>
      </c>
      <c r="P585">
        <v>0</v>
      </c>
      <c r="Q585">
        <v>0</v>
      </c>
      <c r="R585">
        <f t="shared" si="18"/>
        <v>1.5231132434696521E-5</v>
      </c>
      <c r="S585" t="s">
        <v>339</v>
      </c>
      <c r="T585">
        <v>27</v>
      </c>
      <c r="U585" t="str">
        <f t="shared" si="19"/>
        <v>Yui Hasegawa:2</v>
      </c>
    </row>
    <row r="586" spans="1:21" x14ac:dyDescent="0.2">
      <c r="A586" t="s">
        <v>422</v>
      </c>
      <c r="B586" t="s">
        <v>638</v>
      </c>
      <c r="C586" t="s">
        <v>639</v>
      </c>
      <c r="D586" t="s">
        <v>29</v>
      </c>
      <c r="E586" t="s">
        <v>24</v>
      </c>
      <c r="F586">
        <v>31</v>
      </c>
      <c r="G586">
        <v>1990</v>
      </c>
      <c r="H586">
        <v>18</v>
      </c>
      <c r="I586">
        <v>13</v>
      </c>
      <c r="J586">
        <v>1147</v>
      </c>
      <c r="K586">
        <v>1</v>
      </c>
      <c r="L586">
        <v>0</v>
      </c>
      <c r="M586">
        <v>1</v>
      </c>
      <c r="N586">
        <v>0</v>
      </c>
      <c r="O586">
        <v>0</v>
      </c>
      <c r="P586">
        <v>0</v>
      </c>
      <c r="Q586">
        <v>0</v>
      </c>
      <c r="R586">
        <f t="shared" si="18"/>
        <v>9.6871064613000102E-6</v>
      </c>
      <c r="S586" t="s">
        <v>339</v>
      </c>
      <c r="T586">
        <v>27</v>
      </c>
      <c r="U586" t="str">
        <f t="shared" si="19"/>
        <v>Zaneta Wyne:0</v>
      </c>
    </row>
    <row r="587" spans="1:21" x14ac:dyDescent="0.2">
      <c r="A587" t="s">
        <v>225</v>
      </c>
      <c r="B587" t="s">
        <v>658</v>
      </c>
      <c r="C587" t="s">
        <v>659</v>
      </c>
      <c r="D587" t="s">
        <v>40</v>
      </c>
      <c r="E587" t="s">
        <v>20</v>
      </c>
      <c r="F587">
        <v>25</v>
      </c>
      <c r="G587">
        <v>1996</v>
      </c>
      <c r="H587">
        <v>10</v>
      </c>
      <c r="I587">
        <v>8</v>
      </c>
      <c r="J587">
        <v>788</v>
      </c>
      <c r="K587">
        <v>0</v>
      </c>
      <c r="L587">
        <v>1</v>
      </c>
      <c r="M587">
        <v>0</v>
      </c>
      <c r="N587">
        <v>0</v>
      </c>
      <c r="O587">
        <v>0</v>
      </c>
      <c r="P587">
        <v>0</v>
      </c>
      <c r="Q587">
        <v>0</v>
      </c>
      <c r="R587">
        <f t="shared" si="18"/>
        <v>0</v>
      </c>
      <c r="S587" t="s">
        <v>339</v>
      </c>
      <c r="T587">
        <v>56</v>
      </c>
      <c r="U587" t="str">
        <f t="shared" si="19"/>
        <v>Zećira Mušović:1</v>
      </c>
    </row>
    <row r="588" spans="1:21" x14ac:dyDescent="0.2">
      <c r="A588" t="s">
        <v>293</v>
      </c>
      <c r="B588" t="s">
        <v>606</v>
      </c>
      <c r="C588" t="s">
        <v>607</v>
      </c>
      <c r="D588" t="s">
        <v>94</v>
      </c>
      <c r="E588" t="s">
        <v>55</v>
      </c>
      <c r="F588">
        <v>25</v>
      </c>
      <c r="G588">
        <v>1995</v>
      </c>
      <c r="H588">
        <v>14</v>
      </c>
      <c r="I588">
        <v>8</v>
      </c>
      <c r="J588">
        <v>695</v>
      </c>
      <c r="K588">
        <v>0</v>
      </c>
      <c r="L588">
        <v>1</v>
      </c>
      <c r="M588">
        <v>0</v>
      </c>
      <c r="N588">
        <v>0</v>
      </c>
      <c r="O588">
        <v>0</v>
      </c>
      <c r="P588">
        <v>3</v>
      </c>
      <c r="Q588">
        <v>0</v>
      </c>
      <c r="R588">
        <f t="shared" si="18"/>
        <v>0</v>
      </c>
      <c r="S588" t="s">
        <v>424</v>
      </c>
      <c r="T588">
        <v>32</v>
      </c>
      <c r="U588" t="str">
        <f t="shared" si="19"/>
        <v>Abbey-Leigh Stringer:1</v>
      </c>
    </row>
    <row r="589" spans="1:21" x14ac:dyDescent="0.2">
      <c r="A589" t="s">
        <v>374</v>
      </c>
      <c r="B589" t="s">
        <v>652</v>
      </c>
      <c r="C589" t="s">
        <v>653</v>
      </c>
      <c r="D589" t="s">
        <v>34</v>
      </c>
      <c r="E589" t="s">
        <v>360</v>
      </c>
      <c r="F589">
        <v>24</v>
      </c>
      <c r="G589">
        <v>1995</v>
      </c>
      <c r="H589">
        <v>2</v>
      </c>
      <c r="I589">
        <v>0</v>
      </c>
      <c r="J589">
        <v>38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2</v>
      </c>
      <c r="Q589">
        <v>1</v>
      </c>
      <c r="R589">
        <f t="shared" si="18"/>
        <v>0</v>
      </c>
      <c r="S589" t="s">
        <v>424</v>
      </c>
      <c r="T589">
        <v>14</v>
      </c>
      <c r="U589" t="str">
        <f t="shared" si="19"/>
        <v>Abbi Grant:0</v>
      </c>
    </row>
    <row r="590" spans="1:21" x14ac:dyDescent="0.2">
      <c r="A590" t="s">
        <v>215</v>
      </c>
      <c r="B590" t="s">
        <v>606</v>
      </c>
      <c r="C590" t="s">
        <v>607</v>
      </c>
      <c r="D590" t="s">
        <v>50</v>
      </c>
      <c r="E590" t="s">
        <v>52</v>
      </c>
      <c r="F590">
        <v>27</v>
      </c>
      <c r="G590">
        <v>1993</v>
      </c>
      <c r="H590">
        <v>5</v>
      </c>
      <c r="I590">
        <v>5</v>
      </c>
      <c r="J590">
        <v>405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f t="shared" si="18"/>
        <v>0</v>
      </c>
      <c r="S590" t="s">
        <v>424</v>
      </c>
      <c r="T590">
        <v>47</v>
      </c>
      <c r="U590" t="str">
        <f t="shared" si="19"/>
        <v>Abbie McManus:0</v>
      </c>
    </row>
    <row r="591" spans="1:21" x14ac:dyDescent="0.2">
      <c r="A591" t="s">
        <v>215</v>
      </c>
      <c r="B591" t="s">
        <v>606</v>
      </c>
      <c r="C591" t="s">
        <v>607</v>
      </c>
      <c r="D591" t="s">
        <v>50</v>
      </c>
      <c r="E591" t="s">
        <v>30</v>
      </c>
      <c r="F591">
        <v>27</v>
      </c>
      <c r="G591">
        <v>1993</v>
      </c>
      <c r="H591">
        <v>10</v>
      </c>
      <c r="I591">
        <v>10</v>
      </c>
      <c r="J591">
        <v>900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2</v>
      </c>
      <c r="Q591">
        <v>0</v>
      </c>
      <c r="R591">
        <f t="shared" si="18"/>
        <v>0</v>
      </c>
      <c r="S591" t="s">
        <v>424</v>
      </c>
      <c r="T591">
        <v>20</v>
      </c>
      <c r="U591" t="str">
        <f t="shared" si="19"/>
        <v>Abbie McManus:0</v>
      </c>
    </row>
    <row r="592" spans="1:21" x14ac:dyDescent="0.2">
      <c r="A592" t="s">
        <v>433</v>
      </c>
      <c r="B592" t="s">
        <v>638</v>
      </c>
      <c r="C592" t="s">
        <v>639</v>
      </c>
      <c r="D592" t="s">
        <v>50</v>
      </c>
      <c r="E592" t="s">
        <v>32</v>
      </c>
      <c r="F592">
        <v>27</v>
      </c>
      <c r="G592">
        <v>1993</v>
      </c>
      <c r="H592">
        <v>8</v>
      </c>
      <c r="I592">
        <v>7</v>
      </c>
      <c r="J592">
        <v>645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f t="shared" si="18"/>
        <v>0</v>
      </c>
      <c r="S592" t="s">
        <v>424</v>
      </c>
      <c r="T592">
        <v>55</v>
      </c>
      <c r="U592" t="str">
        <f t="shared" si="19"/>
        <v>Abby Dahlkemper:0</v>
      </c>
    </row>
    <row r="593" spans="1:21" x14ac:dyDescent="0.2">
      <c r="A593" t="s">
        <v>450</v>
      </c>
      <c r="B593" t="s">
        <v>652</v>
      </c>
      <c r="C593" t="s">
        <v>653</v>
      </c>
      <c r="D593" t="s">
        <v>42</v>
      </c>
      <c r="E593" t="s">
        <v>426</v>
      </c>
      <c r="F593">
        <v>22</v>
      </c>
      <c r="G593">
        <v>1997</v>
      </c>
      <c r="H593">
        <v>20</v>
      </c>
      <c r="I593">
        <v>8</v>
      </c>
      <c r="J593">
        <v>869</v>
      </c>
      <c r="K593">
        <v>2</v>
      </c>
      <c r="L593">
        <v>2</v>
      </c>
      <c r="M593">
        <v>2</v>
      </c>
      <c r="N593">
        <v>0</v>
      </c>
      <c r="O593">
        <v>0</v>
      </c>
      <c r="P593">
        <v>0</v>
      </c>
      <c r="Q593">
        <v>0</v>
      </c>
      <c r="R593">
        <f t="shared" si="18"/>
        <v>2.5572177470911649E-5</v>
      </c>
      <c r="S593" t="s">
        <v>424</v>
      </c>
      <c r="T593">
        <v>12</v>
      </c>
      <c r="U593" t="str">
        <f t="shared" si="19"/>
        <v>Abigail Harrison:2</v>
      </c>
    </row>
    <row r="594" spans="1:21" x14ac:dyDescent="0.2">
      <c r="A594" t="s">
        <v>196</v>
      </c>
      <c r="B594" t="s">
        <v>608</v>
      </c>
      <c r="C594" t="s">
        <v>609</v>
      </c>
      <c r="D594" t="s">
        <v>42</v>
      </c>
      <c r="E594" t="s">
        <v>24</v>
      </c>
      <c r="F594">
        <v>27</v>
      </c>
      <c r="G594">
        <v>1992</v>
      </c>
      <c r="H594">
        <v>13</v>
      </c>
      <c r="I594">
        <v>11</v>
      </c>
      <c r="J594">
        <v>1003</v>
      </c>
      <c r="K594">
        <v>1</v>
      </c>
      <c r="L594">
        <v>1</v>
      </c>
      <c r="M594">
        <v>1</v>
      </c>
      <c r="N594">
        <v>0</v>
      </c>
      <c r="O594">
        <v>0</v>
      </c>
      <c r="P594">
        <v>2</v>
      </c>
      <c r="Q594">
        <v>0</v>
      </c>
      <c r="R594">
        <f t="shared" si="18"/>
        <v>1.1077877478675085E-5</v>
      </c>
      <c r="S594" t="s">
        <v>424</v>
      </c>
      <c r="T594">
        <v>15</v>
      </c>
      <c r="U594" t="str">
        <f t="shared" si="19"/>
        <v>Adriana Leon:1</v>
      </c>
    </row>
    <row r="595" spans="1:21" x14ac:dyDescent="0.2">
      <c r="A595" t="s">
        <v>54</v>
      </c>
      <c r="D595" t="s">
        <v>26</v>
      </c>
      <c r="E595" t="s">
        <v>20</v>
      </c>
      <c r="F595">
        <v>17</v>
      </c>
      <c r="G595">
        <v>2003</v>
      </c>
      <c r="H595">
        <v>2</v>
      </c>
      <c r="I595">
        <v>0</v>
      </c>
      <c r="J595">
        <v>25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f t="shared" si="18"/>
        <v>0</v>
      </c>
      <c r="S595" t="s">
        <v>424</v>
      </c>
      <c r="T595">
        <v>57</v>
      </c>
      <c r="U595" t="str">
        <f t="shared" si="19"/>
        <v>Agnes Beever-Jones:0</v>
      </c>
    </row>
    <row r="596" spans="1:21" x14ac:dyDescent="0.2">
      <c r="A596" t="s">
        <v>325</v>
      </c>
      <c r="B596" t="s">
        <v>606</v>
      </c>
      <c r="C596" t="s">
        <v>607</v>
      </c>
      <c r="D596" t="s">
        <v>42</v>
      </c>
      <c r="E596" t="s">
        <v>48</v>
      </c>
      <c r="F596">
        <v>28</v>
      </c>
      <c r="G596">
        <v>1991</v>
      </c>
      <c r="H596">
        <v>22</v>
      </c>
      <c r="I596">
        <v>22</v>
      </c>
      <c r="J596">
        <v>1966</v>
      </c>
      <c r="K596">
        <v>4</v>
      </c>
      <c r="L596">
        <v>0</v>
      </c>
      <c r="M596">
        <v>4</v>
      </c>
      <c r="N596">
        <v>0</v>
      </c>
      <c r="O596">
        <v>0</v>
      </c>
      <c r="P596">
        <v>0</v>
      </c>
      <c r="Q596">
        <v>0</v>
      </c>
      <c r="R596">
        <f t="shared" si="18"/>
        <v>2.2606533288120268E-5</v>
      </c>
      <c r="S596" t="s">
        <v>424</v>
      </c>
      <c r="T596">
        <v>27</v>
      </c>
      <c r="U596" t="str">
        <f t="shared" si="19"/>
        <v>Aileen Whelan:0</v>
      </c>
    </row>
    <row r="597" spans="1:21" x14ac:dyDescent="0.2">
      <c r="A597" t="s">
        <v>474</v>
      </c>
      <c r="B597" t="s">
        <v>606</v>
      </c>
      <c r="C597" t="s">
        <v>607</v>
      </c>
      <c r="D597" t="s">
        <v>94</v>
      </c>
      <c r="E597" t="s">
        <v>426</v>
      </c>
      <c r="F597">
        <v>20</v>
      </c>
      <c r="G597">
        <v>2000</v>
      </c>
      <c r="H597">
        <v>15</v>
      </c>
      <c r="I597">
        <v>11</v>
      </c>
      <c r="J597">
        <v>868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1</v>
      </c>
      <c r="Q597">
        <v>0</v>
      </c>
      <c r="R597">
        <f t="shared" si="18"/>
        <v>0</v>
      </c>
      <c r="S597" t="s">
        <v>424</v>
      </c>
      <c r="T597">
        <v>12</v>
      </c>
      <c r="U597" t="str">
        <f t="shared" si="19"/>
        <v>Aimee Palmer:0</v>
      </c>
    </row>
    <row r="598" spans="1:21" x14ac:dyDescent="0.2">
      <c r="A598" t="s">
        <v>178</v>
      </c>
      <c r="B598" t="s">
        <v>612</v>
      </c>
      <c r="C598" t="s">
        <v>613</v>
      </c>
      <c r="D598" t="s">
        <v>34</v>
      </c>
      <c r="E598" t="s">
        <v>30</v>
      </c>
      <c r="F598">
        <v>25</v>
      </c>
      <c r="G598">
        <v>1995</v>
      </c>
      <c r="H598">
        <v>19</v>
      </c>
      <c r="I598">
        <v>18</v>
      </c>
      <c r="J598">
        <v>1570</v>
      </c>
      <c r="K598">
        <v>1</v>
      </c>
      <c r="L598">
        <v>0</v>
      </c>
      <c r="M598">
        <v>1</v>
      </c>
      <c r="N598">
        <v>0</v>
      </c>
      <c r="O598">
        <v>0</v>
      </c>
      <c r="P598">
        <v>3</v>
      </c>
      <c r="Q598">
        <v>0</v>
      </c>
      <c r="R598">
        <f t="shared" si="18"/>
        <v>7.0771408351026184E-6</v>
      </c>
      <c r="S598" t="s">
        <v>424</v>
      </c>
      <c r="T598">
        <v>20</v>
      </c>
      <c r="U598" t="str">
        <f t="shared" si="19"/>
        <v>Alanna Kennedy:0</v>
      </c>
    </row>
    <row r="599" spans="1:21" x14ac:dyDescent="0.2">
      <c r="A599" t="s">
        <v>267</v>
      </c>
      <c r="B599" t="s">
        <v>606</v>
      </c>
      <c r="C599" t="s">
        <v>607</v>
      </c>
      <c r="D599" t="s">
        <v>26</v>
      </c>
      <c r="E599" t="s">
        <v>52</v>
      </c>
      <c r="F599">
        <v>21</v>
      </c>
      <c r="G599">
        <v>1999</v>
      </c>
      <c r="H599">
        <v>4</v>
      </c>
      <c r="I599">
        <v>3</v>
      </c>
      <c r="J599">
        <v>280</v>
      </c>
      <c r="K599">
        <v>3</v>
      </c>
      <c r="L599">
        <v>2</v>
      </c>
      <c r="M599">
        <v>3</v>
      </c>
      <c r="N599">
        <v>0</v>
      </c>
      <c r="O599">
        <v>0</v>
      </c>
      <c r="P599">
        <v>0</v>
      </c>
      <c r="Q599">
        <v>0</v>
      </c>
      <c r="R599">
        <f t="shared" si="18"/>
        <v>1.1904761904761905E-4</v>
      </c>
      <c r="S599" t="s">
        <v>424</v>
      </c>
      <c r="T599">
        <v>47</v>
      </c>
      <c r="U599" t="str">
        <f t="shared" si="19"/>
        <v>Alessia Russo:2</v>
      </c>
    </row>
    <row r="600" spans="1:21" x14ac:dyDescent="0.2">
      <c r="A600" t="s">
        <v>143</v>
      </c>
      <c r="B600" t="s">
        <v>606</v>
      </c>
      <c r="C600" t="s">
        <v>607</v>
      </c>
      <c r="D600" t="s">
        <v>50</v>
      </c>
      <c r="E600" t="s">
        <v>32</v>
      </c>
      <c r="F600">
        <v>26</v>
      </c>
      <c r="G600">
        <v>1993</v>
      </c>
      <c r="H600">
        <v>18</v>
      </c>
      <c r="I600">
        <v>17</v>
      </c>
      <c r="J600">
        <v>1556</v>
      </c>
      <c r="K600">
        <v>0</v>
      </c>
      <c r="L600">
        <v>2</v>
      </c>
      <c r="M600">
        <v>0</v>
      </c>
      <c r="N600">
        <v>0</v>
      </c>
      <c r="O600">
        <v>0</v>
      </c>
      <c r="P600">
        <v>3</v>
      </c>
      <c r="Q600">
        <v>0</v>
      </c>
      <c r="R600">
        <f t="shared" si="18"/>
        <v>0</v>
      </c>
      <c r="S600" t="s">
        <v>424</v>
      </c>
      <c r="T600">
        <v>55</v>
      </c>
      <c r="U600" t="str">
        <f t="shared" si="19"/>
        <v>Alex Greenwood:2</v>
      </c>
    </row>
    <row r="601" spans="1:21" x14ac:dyDescent="0.2">
      <c r="A601" t="s">
        <v>468</v>
      </c>
      <c r="B601" t="s">
        <v>638</v>
      </c>
      <c r="C601" t="s">
        <v>639</v>
      </c>
      <c r="D601" t="s">
        <v>26</v>
      </c>
      <c r="E601" t="s">
        <v>30</v>
      </c>
      <c r="F601">
        <v>31</v>
      </c>
      <c r="G601">
        <v>1989</v>
      </c>
      <c r="H601">
        <v>4</v>
      </c>
      <c r="I601">
        <v>3</v>
      </c>
      <c r="J601">
        <v>240</v>
      </c>
      <c r="K601">
        <v>2</v>
      </c>
      <c r="L601">
        <v>0</v>
      </c>
      <c r="M601">
        <v>0</v>
      </c>
      <c r="N601">
        <v>2</v>
      </c>
      <c r="O601">
        <v>2</v>
      </c>
      <c r="P601">
        <v>0</v>
      </c>
      <c r="Q601">
        <v>0</v>
      </c>
      <c r="R601">
        <f t="shared" si="18"/>
        <v>9.2592592592592588E-5</v>
      </c>
      <c r="S601" t="s">
        <v>424</v>
      </c>
      <c r="T601">
        <v>20</v>
      </c>
      <c r="U601" t="str">
        <f t="shared" si="19"/>
        <v>Alex Morgan:0</v>
      </c>
    </row>
    <row r="602" spans="1:21" x14ac:dyDescent="0.2">
      <c r="A602" t="s">
        <v>494</v>
      </c>
      <c r="D602" t="s">
        <v>26</v>
      </c>
      <c r="E602" t="s">
        <v>32</v>
      </c>
      <c r="H602">
        <v>1</v>
      </c>
      <c r="I602">
        <v>0</v>
      </c>
      <c r="J602">
        <v>9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f t="shared" si="18"/>
        <v>0</v>
      </c>
      <c r="S602" t="s">
        <v>424</v>
      </c>
      <c r="T602">
        <v>55</v>
      </c>
      <c r="U602" t="str">
        <f t="shared" si="19"/>
        <v>Alicia Window:0</v>
      </c>
    </row>
    <row r="603" spans="1:21" x14ac:dyDescent="0.2">
      <c r="A603" t="s">
        <v>194</v>
      </c>
      <c r="B603" t="s">
        <v>614</v>
      </c>
      <c r="C603" t="s">
        <v>615</v>
      </c>
      <c r="D603" t="s">
        <v>26</v>
      </c>
      <c r="E603" t="s">
        <v>24</v>
      </c>
      <c r="F603">
        <v>21</v>
      </c>
      <c r="G603">
        <v>1999</v>
      </c>
      <c r="H603">
        <v>9</v>
      </c>
      <c r="I603">
        <v>5</v>
      </c>
      <c r="J603">
        <v>398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f t="shared" si="18"/>
        <v>0</v>
      </c>
      <c r="S603" t="s">
        <v>424</v>
      </c>
      <c r="T603">
        <v>15</v>
      </c>
      <c r="U603" t="str">
        <f t="shared" si="19"/>
        <v>Alisha Lehmann:0</v>
      </c>
    </row>
    <row r="604" spans="1:21" x14ac:dyDescent="0.2">
      <c r="A604" t="s">
        <v>194</v>
      </c>
      <c r="B604" t="s">
        <v>614</v>
      </c>
      <c r="C604" t="s">
        <v>615</v>
      </c>
      <c r="D604" t="s">
        <v>26</v>
      </c>
      <c r="E604" t="s">
        <v>55</v>
      </c>
      <c r="F604">
        <v>21</v>
      </c>
      <c r="G604">
        <v>1999</v>
      </c>
      <c r="H604">
        <v>8</v>
      </c>
      <c r="I604">
        <v>3</v>
      </c>
      <c r="J604">
        <v>349</v>
      </c>
      <c r="K604">
        <v>1</v>
      </c>
      <c r="L604">
        <v>1</v>
      </c>
      <c r="M604">
        <v>1</v>
      </c>
      <c r="N604">
        <v>0</v>
      </c>
      <c r="O604">
        <v>0</v>
      </c>
      <c r="P604">
        <v>0</v>
      </c>
      <c r="Q604">
        <v>0</v>
      </c>
      <c r="R604">
        <f t="shared" si="18"/>
        <v>3.1836994587710921E-5</v>
      </c>
      <c r="S604" t="s">
        <v>424</v>
      </c>
      <c r="T604">
        <v>32</v>
      </c>
      <c r="U604" t="str">
        <f t="shared" si="19"/>
        <v>Alisha Lehmann:1</v>
      </c>
    </row>
    <row r="605" spans="1:21" x14ac:dyDescent="0.2">
      <c r="A605" t="s">
        <v>110</v>
      </c>
      <c r="B605" t="s">
        <v>618</v>
      </c>
      <c r="C605" t="s">
        <v>619</v>
      </c>
      <c r="D605" t="s">
        <v>23</v>
      </c>
      <c r="E605" t="s">
        <v>35</v>
      </c>
      <c r="F605">
        <v>24</v>
      </c>
      <c r="G605">
        <v>1995</v>
      </c>
      <c r="H605">
        <v>22</v>
      </c>
      <c r="I605">
        <v>19</v>
      </c>
      <c r="J605">
        <v>1576</v>
      </c>
      <c r="K605">
        <v>2</v>
      </c>
      <c r="L605">
        <v>0</v>
      </c>
      <c r="M605">
        <v>2</v>
      </c>
      <c r="N605">
        <v>0</v>
      </c>
      <c r="O605">
        <v>0</v>
      </c>
      <c r="P605">
        <v>1</v>
      </c>
      <c r="Q605">
        <v>0</v>
      </c>
      <c r="R605">
        <f t="shared" si="18"/>
        <v>1.4100394811054708E-5</v>
      </c>
      <c r="S605" t="s">
        <v>424</v>
      </c>
      <c r="T605">
        <v>24</v>
      </c>
      <c r="U605" t="str">
        <f t="shared" si="19"/>
        <v>Amalie Eikeland:0</v>
      </c>
    </row>
    <row r="606" spans="1:21" x14ac:dyDescent="0.2">
      <c r="A606" t="s">
        <v>308</v>
      </c>
      <c r="B606" t="s">
        <v>606</v>
      </c>
      <c r="C606" t="s">
        <v>607</v>
      </c>
      <c r="D606" t="s">
        <v>50</v>
      </c>
      <c r="E606" t="s">
        <v>52</v>
      </c>
      <c r="F606">
        <v>29</v>
      </c>
      <c r="G606">
        <v>1991</v>
      </c>
      <c r="H606">
        <v>21</v>
      </c>
      <c r="I606">
        <v>19</v>
      </c>
      <c r="J606">
        <v>1744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4</v>
      </c>
      <c r="Q606">
        <v>0</v>
      </c>
      <c r="R606">
        <f t="shared" si="18"/>
        <v>0</v>
      </c>
      <c r="S606" t="s">
        <v>424</v>
      </c>
      <c r="T606">
        <v>47</v>
      </c>
      <c r="U606" t="str">
        <f t="shared" si="19"/>
        <v>Amy Turner:0</v>
      </c>
    </row>
    <row r="607" spans="1:21" x14ac:dyDescent="0.2">
      <c r="A607" t="s">
        <v>491</v>
      </c>
      <c r="B607" t="s">
        <v>606</v>
      </c>
      <c r="C607" t="s">
        <v>607</v>
      </c>
      <c r="D607" t="s">
        <v>34</v>
      </c>
      <c r="E607" t="s">
        <v>37</v>
      </c>
      <c r="F607">
        <v>23</v>
      </c>
      <c r="G607">
        <v>1997</v>
      </c>
      <c r="H607">
        <v>6</v>
      </c>
      <c r="I607">
        <v>2</v>
      </c>
      <c r="J607">
        <v>215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f t="shared" si="18"/>
        <v>0</v>
      </c>
      <c r="S607" t="s">
        <v>424</v>
      </c>
      <c r="T607">
        <v>15</v>
      </c>
      <c r="U607" t="str">
        <f t="shared" si="19"/>
        <v>Amy West:0</v>
      </c>
    </row>
    <row r="608" spans="1:21" x14ac:dyDescent="0.2">
      <c r="A608" t="s">
        <v>340</v>
      </c>
      <c r="B608" t="s">
        <v>606</v>
      </c>
      <c r="C608" t="s">
        <v>607</v>
      </c>
      <c r="D608" t="s">
        <v>26</v>
      </c>
      <c r="E608" t="s">
        <v>30</v>
      </c>
      <c r="F608">
        <v>20</v>
      </c>
      <c r="G608">
        <v>1999</v>
      </c>
      <c r="H608">
        <v>21</v>
      </c>
      <c r="I608">
        <v>15</v>
      </c>
      <c r="J608">
        <v>1270</v>
      </c>
      <c r="K608">
        <v>2</v>
      </c>
      <c r="L608">
        <v>0</v>
      </c>
      <c r="M608">
        <v>2</v>
      </c>
      <c r="N608">
        <v>0</v>
      </c>
      <c r="O608">
        <v>0</v>
      </c>
      <c r="P608">
        <v>0</v>
      </c>
      <c r="Q608">
        <v>0</v>
      </c>
      <c r="R608">
        <f t="shared" si="18"/>
        <v>1.7497812773403324E-5</v>
      </c>
      <c r="S608" t="s">
        <v>424</v>
      </c>
      <c r="T608">
        <v>20</v>
      </c>
      <c r="U608" t="str">
        <f t="shared" si="19"/>
        <v>Angela Addison:0</v>
      </c>
    </row>
    <row r="609" spans="1:21" x14ac:dyDescent="0.2">
      <c r="A609" t="s">
        <v>169</v>
      </c>
      <c r="B609" t="s">
        <v>624</v>
      </c>
      <c r="C609" t="s">
        <v>625</v>
      </c>
      <c r="D609" t="s">
        <v>34</v>
      </c>
      <c r="E609" t="s">
        <v>35</v>
      </c>
      <c r="F609">
        <v>26</v>
      </c>
      <c r="G609">
        <v>1994</v>
      </c>
      <c r="H609">
        <v>22</v>
      </c>
      <c r="I609">
        <v>22</v>
      </c>
      <c r="J609">
        <v>1980</v>
      </c>
      <c r="K609">
        <v>1</v>
      </c>
      <c r="L609">
        <v>1</v>
      </c>
      <c r="M609">
        <v>1</v>
      </c>
      <c r="N609">
        <v>0</v>
      </c>
      <c r="O609">
        <v>0</v>
      </c>
      <c r="P609">
        <v>0</v>
      </c>
      <c r="Q609">
        <v>0</v>
      </c>
      <c r="R609">
        <f t="shared" si="18"/>
        <v>5.6116722783389449E-6</v>
      </c>
      <c r="S609" t="s">
        <v>424</v>
      </c>
      <c r="T609">
        <v>24</v>
      </c>
      <c r="U609" t="str">
        <f t="shared" si="19"/>
        <v>Angharad James:1</v>
      </c>
    </row>
    <row r="610" spans="1:21" x14ac:dyDescent="0.2">
      <c r="A610" t="s">
        <v>344</v>
      </c>
      <c r="B610" t="s">
        <v>606</v>
      </c>
      <c r="C610" t="s">
        <v>607</v>
      </c>
      <c r="D610" t="s">
        <v>29</v>
      </c>
      <c r="E610" t="s">
        <v>37</v>
      </c>
      <c r="F610">
        <v>35</v>
      </c>
      <c r="G610">
        <v>1985</v>
      </c>
      <c r="H610">
        <v>19</v>
      </c>
      <c r="I610">
        <v>19</v>
      </c>
      <c r="J610">
        <v>1659</v>
      </c>
      <c r="K610">
        <v>1</v>
      </c>
      <c r="L610">
        <v>0</v>
      </c>
      <c r="M610">
        <v>1</v>
      </c>
      <c r="N610">
        <v>0</v>
      </c>
      <c r="O610">
        <v>0</v>
      </c>
      <c r="P610">
        <v>1</v>
      </c>
      <c r="Q610">
        <v>0</v>
      </c>
      <c r="R610">
        <f t="shared" si="18"/>
        <v>6.6974750519054317E-6</v>
      </c>
      <c r="S610" t="s">
        <v>424</v>
      </c>
      <c r="T610">
        <v>15</v>
      </c>
      <c r="U610" t="str">
        <f t="shared" si="19"/>
        <v>Anita Asante:0</v>
      </c>
    </row>
    <row r="611" spans="1:21" x14ac:dyDescent="0.2">
      <c r="A611" t="s">
        <v>439</v>
      </c>
      <c r="B611" t="s">
        <v>624</v>
      </c>
      <c r="C611" t="s">
        <v>625</v>
      </c>
      <c r="D611" t="s">
        <v>29</v>
      </c>
      <c r="E611" t="s">
        <v>30</v>
      </c>
      <c r="F611">
        <v>20</v>
      </c>
      <c r="G611">
        <v>1999</v>
      </c>
      <c r="H611">
        <v>5</v>
      </c>
      <c r="I611">
        <v>3</v>
      </c>
      <c r="J611">
        <v>238</v>
      </c>
      <c r="K611">
        <v>1</v>
      </c>
      <c r="L611">
        <v>0</v>
      </c>
      <c r="M611">
        <v>1</v>
      </c>
      <c r="N611">
        <v>0</v>
      </c>
      <c r="O611">
        <v>0</v>
      </c>
      <c r="P611">
        <v>0</v>
      </c>
      <c r="Q611">
        <v>0</v>
      </c>
      <c r="R611">
        <f t="shared" si="18"/>
        <v>4.6685340802987859E-5</v>
      </c>
      <c r="S611" t="s">
        <v>424</v>
      </c>
      <c r="T611">
        <v>20</v>
      </c>
      <c r="U611" t="str">
        <f t="shared" si="19"/>
        <v>Anna Filbey:0</v>
      </c>
    </row>
    <row r="612" spans="1:21" x14ac:dyDescent="0.2">
      <c r="A612" t="s">
        <v>239</v>
      </c>
      <c r="B612" t="s">
        <v>606</v>
      </c>
      <c r="C612" t="s">
        <v>607</v>
      </c>
      <c r="D612" t="s">
        <v>50</v>
      </c>
      <c r="E612" t="s">
        <v>27</v>
      </c>
      <c r="F612">
        <v>21</v>
      </c>
      <c r="G612">
        <v>1999</v>
      </c>
      <c r="H612">
        <v>7</v>
      </c>
      <c r="I612">
        <v>2</v>
      </c>
      <c r="J612">
        <v>203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f t="shared" si="18"/>
        <v>0</v>
      </c>
      <c r="S612" t="s">
        <v>424</v>
      </c>
      <c r="T612">
        <v>48</v>
      </c>
      <c r="U612" t="str">
        <f t="shared" si="19"/>
        <v>Anna Patten:0</v>
      </c>
    </row>
    <row r="613" spans="1:21" x14ac:dyDescent="0.2">
      <c r="A613" t="s">
        <v>57</v>
      </c>
      <c r="B613" t="s">
        <v>630</v>
      </c>
      <c r="C613" t="s">
        <v>631</v>
      </c>
      <c r="D613" t="s">
        <v>40</v>
      </c>
      <c r="E613" t="s">
        <v>20</v>
      </c>
      <c r="F613">
        <v>29</v>
      </c>
      <c r="G613">
        <v>1990</v>
      </c>
      <c r="H613">
        <v>17</v>
      </c>
      <c r="I613">
        <v>17</v>
      </c>
      <c r="J613">
        <v>1530</v>
      </c>
      <c r="K613">
        <v>0</v>
      </c>
      <c r="L613">
        <v>1</v>
      </c>
      <c r="M613">
        <v>0</v>
      </c>
      <c r="N613">
        <v>0</v>
      </c>
      <c r="O613">
        <v>0</v>
      </c>
      <c r="P613">
        <v>0</v>
      </c>
      <c r="Q613">
        <v>0</v>
      </c>
      <c r="R613">
        <f t="shared" si="18"/>
        <v>0</v>
      </c>
      <c r="S613" t="s">
        <v>424</v>
      </c>
      <c r="T613">
        <v>57</v>
      </c>
      <c r="U613" t="str">
        <f t="shared" si="19"/>
        <v>Ann-Katrin Berger:1</v>
      </c>
    </row>
    <row r="614" spans="1:21" x14ac:dyDescent="0.2">
      <c r="A614" t="s">
        <v>106</v>
      </c>
      <c r="B614" t="s">
        <v>606</v>
      </c>
      <c r="C614" t="s">
        <v>607</v>
      </c>
      <c r="D614" t="s">
        <v>26</v>
      </c>
      <c r="E614" t="s">
        <v>27</v>
      </c>
      <c r="F614">
        <v>17</v>
      </c>
      <c r="G614">
        <v>2003</v>
      </c>
      <c r="H614">
        <v>1</v>
      </c>
      <c r="I614">
        <v>0</v>
      </c>
      <c r="J614">
        <v>1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f t="shared" si="18"/>
        <v>0</v>
      </c>
      <c r="S614" t="s">
        <v>424</v>
      </c>
      <c r="T614">
        <v>48</v>
      </c>
      <c r="U614" t="str">
        <f t="shared" si="19"/>
        <v>Anouk Denton:0</v>
      </c>
    </row>
    <row r="615" spans="1:21" x14ac:dyDescent="0.2">
      <c r="A615" t="s">
        <v>106</v>
      </c>
      <c r="B615" t="s">
        <v>606</v>
      </c>
      <c r="C615" t="s">
        <v>607</v>
      </c>
      <c r="D615" t="s">
        <v>248</v>
      </c>
      <c r="E615" t="s">
        <v>24</v>
      </c>
      <c r="F615">
        <v>17</v>
      </c>
      <c r="G615">
        <v>2003</v>
      </c>
      <c r="H615">
        <v>3</v>
      </c>
      <c r="I615">
        <v>1</v>
      </c>
      <c r="J615">
        <v>101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f t="shared" si="18"/>
        <v>0</v>
      </c>
      <c r="S615" t="s">
        <v>424</v>
      </c>
      <c r="T615">
        <v>15</v>
      </c>
      <c r="U615" t="str">
        <f t="shared" si="19"/>
        <v>Anouk Denton:0</v>
      </c>
    </row>
    <row r="616" spans="1:21" x14ac:dyDescent="0.2">
      <c r="A616" t="s">
        <v>208</v>
      </c>
      <c r="B616" t="s">
        <v>632</v>
      </c>
      <c r="C616" t="s">
        <v>633</v>
      </c>
      <c r="D616" t="s">
        <v>19</v>
      </c>
      <c r="E616" t="s">
        <v>32</v>
      </c>
      <c r="F616">
        <v>24</v>
      </c>
      <c r="G616">
        <v>1995</v>
      </c>
      <c r="H616">
        <v>3</v>
      </c>
      <c r="I616">
        <v>1</v>
      </c>
      <c r="J616">
        <v>123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f t="shared" si="18"/>
        <v>0</v>
      </c>
      <c r="S616" t="s">
        <v>424</v>
      </c>
      <c r="T616">
        <v>55</v>
      </c>
      <c r="U616" t="str">
        <f t="shared" si="19"/>
        <v>Aoife Mannion:0</v>
      </c>
    </row>
    <row r="617" spans="1:21" x14ac:dyDescent="0.2">
      <c r="A617" t="s">
        <v>228</v>
      </c>
      <c r="B617" t="s">
        <v>606</v>
      </c>
      <c r="C617" t="s">
        <v>607</v>
      </c>
      <c r="D617" t="s">
        <v>50</v>
      </c>
      <c r="E617" t="s">
        <v>30</v>
      </c>
      <c r="F617">
        <v>27</v>
      </c>
      <c r="G617">
        <v>1993</v>
      </c>
      <c r="H617">
        <v>12</v>
      </c>
      <c r="I617">
        <v>12</v>
      </c>
      <c r="J617">
        <v>1012</v>
      </c>
      <c r="K617">
        <v>2</v>
      </c>
      <c r="L617">
        <v>0</v>
      </c>
      <c r="M617">
        <v>2</v>
      </c>
      <c r="N617">
        <v>0</v>
      </c>
      <c r="O617">
        <v>0</v>
      </c>
      <c r="P617">
        <v>4</v>
      </c>
      <c r="Q617">
        <v>0</v>
      </c>
      <c r="R617">
        <f t="shared" si="18"/>
        <v>2.1958717610891522E-5</v>
      </c>
      <c r="S617" t="s">
        <v>424</v>
      </c>
      <c r="T617">
        <v>20</v>
      </c>
      <c r="U617" t="str">
        <f t="shared" si="19"/>
        <v>Ashleigh Neville:0</v>
      </c>
    </row>
    <row r="618" spans="1:21" x14ac:dyDescent="0.2">
      <c r="A618" t="s">
        <v>28</v>
      </c>
      <c r="B618" t="s">
        <v>606</v>
      </c>
      <c r="C618" t="s">
        <v>607</v>
      </c>
      <c r="D618" t="s">
        <v>50</v>
      </c>
      <c r="E618" t="s">
        <v>37</v>
      </c>
      <c r="F618">
        <v>18</v>
      </c>
      <c r="G618">
        <v>2001</v>
      </c>
      <c r="H618">
        <v>18</v>
      </c>
      <c r="I618">
        <v>16</v>
      </c>
      <c r="J618">
        <v>1457</v>
      </c>
      <c r="K618">
        <v>0</v>
      </c>
      <c r="L618">
        <v>1</v>
      </c>
      <c r="M618">
        <v>0</v>
      </c>
      <c r="N618">
        <v>0</v>
      </c>
      <c r="O618">
        <v>0</v>
      </c>
      <c r="P618">
        <v>2</v>
      </c>
      <c r="Q618">
        <v>0</v>
      </c>
      <c r="R618">
        <f t="shared" si="18"/>
        <v>0</v>
      </c>
      <c r="S618" t="s">
        <v>424</v>
      </c>
      <c r="T618">
        <v>15</v>
      </c>
      <c r="U618" t="str">
        <f t="shared" si="19"/>
        <v>Asmita Ale:1</v>
      </c>
    </row>
    <row r="619" spans="1:21" x14ac:dyDescent="0.2">
      <c r="A619" t="s">
        <v>466</v>
      </c>
      <c r="B619" t="s">
        <v>618</v>
      </c>
      <c r="C619" t="s">
        <v>619</v>
      </c>
      <c r="D619" t="s">
        <v>40</v>
      </c>
      <c r="E619" t="s">
        <v>30</v>
      </c>
      <c r="F619">
        <v>24</v>
      </c>
      <c r="G619">
        <v>1996</v>
      </c>
      <c r="H619">
        <v>5</v>
      </c>
      <c r="I619">
        <v>5</v>
      </c>
      <c r="J619">
        <v>450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1</v>
      </c>
      <c r="Q619">
        <v>0</v>
      </c>
      <c r="R619">
        <f t="shared" si="18"/>
        <v>0</v>
      </c>
      <c r="S619" t="s">
        <v>424</v>
      </c>
      <c r="T619">
        <v>20</v>
      </c>
      <c r="U619" t="str">
        <f t="shared" si="19"/>
        <v>Aurora Mikalsen:0</v>
      </c>
    </row>
    <row r="620" spans="1:21" x14ac:dyDescent="0.2">
      <c r="A620" t="s">
        <v>448</v>
      </c>
      <c r="B620" t="s">
        <v>618</v>
      </c>
      <c r="C620" t="s">
        <v>619</v>
      </c>
      <c r="D620" t="s">
        <v>40</v>
      </c>
      <c r="E620" t="s">
        <v>426</v>
      </c>
      <c r="F620">
        <v>22</v>
      </c>
      <c r="G620">
        <v>1998</v>
      </c>
      <c r="H620">
        <v>1</v>
      </c>
      <c r="I620">
        <v>1</v>
      </c>
      <c r="J620">
        <v>90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f t="shared" si="18"/>
        <v>0</v>
      </c>
      <c r="S620" t="s">
        <v>424</v>
      </c>
      <c r="T620">
        <v>12</v>
      </c>
      <c r="U620" t="str">
        <f t="shared" si="19"/>
        <v>Benedicte Håland:0</v>
      </c>
    </row>
    <row r="621" spans="1:21" x14ac:dyDescent="0.2">
      <c r="A621" t="s">
        <v>216</v>
      </c>
      <c r="B621" t="s">
        <v>606</v>
      </c>
      <c r="C621" t="s">
        <v>607</v>
      </c>
      <c r="D621" t="s">
        <v>26</v>
      </c>
      <c r="E621" t="s">
        <v>27</v>
      </c>
      <c r="F621">
        <v>25</v>
      </c>
      <c r="G621">
        <v>1995</v>
      </c>
      <c r="H621">
        <v>21</v>
      </c>
      <c r="I621">
        <v>19</v>
      </c>
      <c r="J621">
        <v>1652</v>
      </c>
      <c r="K621">
        <v>4</v>
      </c>
      <c r="L621">
        <v>8</v>
      </c>
      <c r="M621">
        <v>4</v>
      </c>
      <c r="N621">
        <v>0</v>
      </c>
      <c r="O621">
        <v>0</v>
      </c>
      <c r="P621">
        <v>2</v>
      </c>
      <c r="Q621">
        <v>1</v>
      </c>
      <c r="R621">
        <f t="shared" si="18"/>
        <v>2.690341673392521E-5</v>
      </c>
      <c r="S621" t="s">
        <v>424</v>
      </c>
      <c r="T621">
        <v>48</v>
      </c>
      <c r="U621" t="str">
        <f t="shared" si="19"/>
        <v>Beth Mead:8</v>
      </c>
    </row>
    <row r="622" spans="1:21" x14ac:dyDescent="0.2">
      <c r="A622" t="s">
        <v>400</v>
      </c>
      <c r="B622" t="s">
        <v>624</v>
      </c>
      <c r="C622" t="s">
        <v>625</v>
      </c>
      <c r="D622" t="s">
        <v>50</v>
      </c>
      <c r="E622" t="s">
        <v>35</v>
      </c>
      <c r="F622">
        <v>17</v>
      </c>
      <c r="G622">
        <v>2003</v>
      </c>
      <c r="H622">
        <v>6</v>
      </c>
      <c r="I622">
        <v>4</v>
      </c>
      <c r="J622">
        <v>320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f t="shared" si="18"/>
        <v>0</v>
      </c>
      <c r="S622" t="s">
        <v>424</v>
      </c>
      <c r="T622">
        <v>24</v>
      </c>
      <c r="U622" t="str">
        <f t="shared" si="19"/>
        <v>Beth Roberts:0</v>
      </c>
    </row>
    <row r="623" spans="1:21" x14ac:dyDescent="0.2">
      <c r="A623" t="s">
        <v>477</v>
      </c>
      <c r="B623" t="s">
        <v>606</v>
      </c>
      <c r="C623" t="s">
        <v>607</v>
      </c>
      <c r="D623" t="s">
        <v>50</v>
      </c>
      <c r="E623" t="s">
        <v>48</v>
      </c>
      <c r="F623">
        <v>20</v>
      </c>
      <c r="G623">
        <v>1999</v>
      </c>
      <c r="H623">
        <v>3</v>
      </c>
      <c r="I623">
        <v>2</v>
      </c>
      <c r="J623">
        <v>218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f t="shared" si="18"/>
        <v>0</v>
      </c>
      <c r="S623" t="s">
        <v>424</v>
      </c>
      <c r="T623">
        <v>27</v>
      </c>
      <c r="U623" t="str">
        <f t="shared" si="19"/>
        <v>Bethan Roe:0</v>
      </c>
    </row>
    <row r="624" spans="1:21" x14ac:dyDescent="0.2">
      <c r="A624" t="s">
        <v>111</v>
      </c>
      <c r="B624" t="s">
        <v>606</v>
      </c>
      <c r="C624" t="s">
        <v>607</v>
      </c>
      <c r="D624" t="s">
        <v>26</v>
      </c>
      <c r="E624" t="s">
        <v>20</v>
      </c>
      <c r="F624">
        <v>26</v>
      </c>
      <c r="G624">
        <v>1994</v>
      </c>
      <c r="H624">
        <v>19</v>
      </c>
      <c r="I624">
        <v>10</v>
      </c>
      <c r="J624">
        <v>993</v>
      </c>
      <c r="K624">
        <v>6</v>
      </c>
      <c r="L624">
        <v>9</v>
      </c>
      <c r="M624">
        <v>6</v>
      </c>
      <c r="N624">
        <v>0</v>
      </c>
      <c r="O624">
        <v>0</v>
      </c>
      <c r="P624">
        <v>0</v>
      </c>
      <c r="Q624">
        <v>0</v>
      </c>
      <c r="R624">
        <f t="shared" si="18"/>
        <v>6.7136623027861698E-5</v>
      </c>
      <c r="S624" t="s">
        <v>424</v>
      </c>
      <c r="T624">
        <v>57</v>
      </c>
      <c r="U624" t="str">
        <f t="shared" si="19"/>
        <v>Bethany England:9</v>
      </c>
    </row>
    <row r="625" spans="1:21" x14ac:dyDescent="0.2">
      <c r="A625" t="s">
        <v>356</v>
      </c>
      <c r="B625" t="s">
        <v>606</v>
      </c>
      <c r="C625" t="s">
        <v>607</v>
      </c>
      <c r="D625" t="s">
        <v>23</v>
      </c>
      <c r="E625" t="s">
        <v>35</v>
      </c>
      <c r="F625">
        <v>31</v>
      </c>
      <c r="G625">
        <v>1989</v>
      </c>
      <c r="H625">
        <v>8</v>
      </c>
      <c r="I625">
        <v>4</v>
      </c>
      <c r="J625">
        <v>473</v>
      </c>
      <c r="K625">
        <v>1</v>
      </c>
      <c r="L625">
        <v>1</v>
      </c>
      <c r="M625">
        <v>1</v>
      </c>
      <c r="N625">
        <v>0</v>
      </c>
      <c r="O625">
        <v>0</v>
      </c>
      <c r="P625">
        <v>0</v>
      </c>
      <c r="Q625">
        <v>0</v>
      </c>
      <c r="R625">
        <f t="shared" si="18"/>
        <v>2.3490721165139772E-5</v>
      </c>
      <c r="S625" t="s">
        <v>424</v>
      </c>
      <c r="T625">
        <v>24</v>
      </c>
      <c r="U625" t="str">
        <f t="shared" si="19"/>
        <v>Brooke Chaplen:1</v>
      </c>
    </row>
    <row r="626" spans="1:21" x14ac:dyDescent="0.2">
      <c r="A626" t="s">
        <v>124</v>
      </c>
      <c r="B626" t="s">
        <v>612</v>
      </c>
      <c r="C626" t="s">
        <v>613</v>
      </c>
      <c r="D626" t="s">
        <v>26</v>
      </c>
      <c r="E626" t="s">
        <v>27</v>
      </c>
      <c r="F626">
        <v>25</v>
      </c>
      <c r="G626">
        <v>1994</v>
      </c>
      <c r="H626">
        <v>21</v>
      </c>
      <c r="I626">
        <v>15</v>
      </c>
      <c r="J626">
        <v>1317</v>
      </c>
      <c r="K626">
        <v>10</v>
      </c>
      <c r="L626">
        <v>5</v>
      </c>
      <c r="M626">
        <v>10</v>
      </c>
      <c r="N626">
        <v>0</v>
      </c>
      <c r="O626">
        <v>0</v>
      </c>
      <c r="P626">
        <v>2</v>
      </c>
      <c r="Q626">
        <v>0</v>
      </c>
      <c r="R626">
        <f t="shared" si="18"/>
        <v>8.4366826963637893E-5</v>
      </c>
      <c r="S626" t="s">
        <v>424</v>
      </c>
      <c r="T626">
        <v>48</v>
      </c>
      <c r="U626" t="str">
        <f t="shared" si="19"/>
        <v>Caitlin Foord:5</v>
      </c>
    </row>
    <row r="627" spans="1:21" x14ac:dyDescent="0.2">
      <c r="A627" t="s">
        <v>164</v>
      </c>
      <c r="B627" t="s">
        <v>606</v>
      </c>
      <c r="C627" t="s">
        <v>607</v>
      </c>
      <c r="D627" t="s">
        <v>34</v>
      </c>
      <c r="E627" t="s">
        <v>426</v>
      </c>
      <c r="F627">
        <v>23</v>
      </c>
      <c r="G627">
        <v>1996</v>
      </c>
      <c r="H627">
        <v>21</v>
      </c>
      <c r="I627">
        <v>20</v>
      </c>
      <c r="J627">
        <v>1636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f t="shared" si="18"/>
        <v>0</v>
      </c>
      <c r="S627" t="s">
        <v>424</v>
      </c>
      <c r="T627">
        <v>12</v>
      </c>
      <c r="U627" t="str">
        <f t="shared" si="19"/>
        <v>Carla Humphrey:0</v>
      </c>
    </row>
    <row r="628" spans="1:21" x14ac:dyDescent="0.2">
      <c r="A628" t="s">
        <v>487</v>
      </c>
      <c r="B628" t="s">
        <v>606</v>
      </c>
      <c r="C628" t="s">
        <v>607</v>
      </c>
      <c r="D628" t="s">
        <v>40</v>
      </c>
      <c r="E628" t="s">
        <v>20</v>
      </c>
      <c r="F628">
        <v>33</v>
      </c>
      <c r="G628">
        <v>1987</v>
      </c>
      <c r="H628">
        <v>3</v>
      </c>
      <c r="I628">
        <v>3</v>
      </c>
      <c r="J628">
        <v>270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f t="shared" si="18"/>
        <v>0</v>
      </c>
      <c r="S628" t="s">
        <v>424</v>
      </c>
      <c r="T628">
        <v>57</v>
      </c>
      <c r="U628" t="str">
        <f t="shared" si="19"/>
        <v>Carly Telford:0</v>
      </c>
    </row>
    <row r="629" spans="1:21" x14ac:dyDescent="0.2">
      <c r="A629" t="s">
        <v>482</v>
      </c>
      <c r="B629" t="s">
        <v>630</v>
      </c>
      <c r="C629" t="s">
        <v>631</v>
      </c>
      <c r="D629" t="s">
        <v>50</v>
      </c>
      <c r="E629" t="s">
        <v>37</v>
      </c>
      <c r="F629">
        <v>21</v>
      </c>
      <c r="G629">
        <v>1999</v>
      </c>
      <c r="H629">
        <v>13</v>
      </c>
      <c r="I629">
        <v>10</v>
      </c>
      <c r="J629">
        <v>948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1</v>
      </c>
      <c r="Q629">
        <v>0</v>
      </c>
      <c r="R629">
        <f t="shared" si="18"/>
        <v>0</v>
      </c>
      <c r="S629" t="s">
        <v>424</v>
      </c>
      <c r="T629">
        <v>15</v>
      </c>
      <c r="U629" t="str">
        <f t="shared" si="19"/>
        <v>Caroline Siems:0</v>
      </c>
    </row>
    <row r="630" spans="1:21" x14ac:dyDescent="0.2">
      <c r="A630" t="s">
        <v>417</v>
      </c>
      <c r="B630" t="s">
        <v>652</v>
      </c>
      <c r="C630" t="s">
        <v>653</v>
      </c>
      <c r="D630" t="s">
        <v>34</v>
      </c>
      <c r="E630" t="s">
        <v>32</v>
      </c>
      <c r="F630">
        <v>25</v>
      </c>
      <c r="G630">
        <v>1995</v>
      </c>
      <c r="H630">
        <v>20</v>
      </c>
      <c r="I630">
        <v>17</v>
      </c>
      <c r="J630">
        <v>1440</v>
      </c>
      <c r="K630">
        <v>8</v>
      </c>
      <c r="L630">
        <v>3</v>
      </c>
      <c r="M630">
        <v>8</v>
      </c>
      <c r="N630">
        <v>0</v>
      </c>
      <c r="O630">
        <v>1</v>
      </c>
      <c r="P630">
        <v>0</v>
      </c>
      <c r="Q630">
        <v>0</v>
      </c>
      <c r="R630">
        <f t="shared" si="18"/>
        <v>6.1728395061728397E-5</v>
      </c>
      <c r="S630" t="s">
        <v>424</v>
      </c>
      <c r="T630">
        <v>55</v>
      </c>
      <c r="U630" t="str">
        <f t="shared" si="19"/>
        <v>Caroline Weir:3</v>
      </c>
    </row>
    <row r="631" spans="1:21" x14ac:dyDescent="0.2">
      <c r="A631" t="s">
        <v>173</v>
      </c>
      <c r="B631" t="s">
        <v>624</v>
      </c>
      <c r="C631" t="s">
        <v>625</v>
      </c>
      <c r="D631" t="s">
        <v>19</v>
      </c>
      <c r="E631" t="s">
        <v>52</v>
      </c>
      <c r="F631">
        <v>16</v>
      </c>
      <c r="G631">
        <v>2003</v>
      </c>
      <c r="H631">
        <v>2</v>
      </c>
      <c r="I631">
        <v>0</v>
      </c>
      <c r="J631">
        <v>10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f t="shared" si="18"/>
        <v>0</v>
      </c>
      <c r="S631" t="s">
        <v>424</v>
      </c>
      <c r="T631">
        <v>47</v>
      </c>
      <c r="U631" t="str">
        <f t="shared" si="19"/>
        <v>Carrie Jones:0</v>
      </c>
    </row>
    <row r="632" spans="1:21" x14ac:dyDescent="0.2">
      <c r="A632" t="s">
        <v>441</v>
      </c>
      <c r="B632" t="s">
        <v>618</v>
      </c>
      <c r="C632" t="s">
        <v>619</v>
      </c>
      <c r="D632" t="s">
        <v>40</v>
      </c>
      <c r="E632" t="s">
        <v>48</v>
      </c>
      <c r="F632">
        <v>24</v>
      </c>
      <c r="G632">
        <v>1996</v>
      </c>
      <c r="H632">
        <v>7</v>
      </c>
      <c r="I632">
        <v>7</v>
      </c>
      <c r="J632">
        <v>630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f t="shared" si="18"/>
        <v>0</v>
      </c>
      <c r="S632" t="s">
        <v>424</v>
      </c>
      <c r="T632">
        <v>27</v>
      </c>
      <c r="U632" t="str">
        <f t="shared" si="19"/>
        <v>Cecilie Fiskerstrand:0</v>
      </c>
    </row>
    <row r="633" spans="1:21" x14ac:dyDescent="0.2">
      <c r="A633" t="s">
        <v>456</v>
      </c>
      <c r="B633" t="s">
        <v>618</v>
      </c>
      <c r="C633" t="s">
        <v>619</v>
      </c>
      <c r="D633" t="s">
        <v>50</v>
      </c>
      <c r="E633" t="s">
        <v>24</v>
      </c>
      <c r="F633">
        <v>24</v>
      </c>
      <c r="G633">
        <v>1995</v>
      </c>
      <c r="H633">
        <v>19</v>
      </c>
      <c r="I633">
        <v>17</v>
      </c>
      <c r="J633">
        <v>1492</v>
      </c>
      <c r="K633">
        <v>0</v>
      </c>
      <c r="L633">
        <v>2</v>
      </c>
      <c r="M633">
        <v>0</v>
      </c>
      <c r="N633">
        <v>0</v>
      </c>
      <c r="O633">
        <v>0</v>
      </c>
      <c r="P633">
        <v>0</v>
      </c>
      <c r="Q633">
        <v>0</v>
      </c>
      <c r="R633">
        <f t="shared" si="18"/>
        <v>0</v>
      </c>
      <c r="S633" t="s">
        <v>424</v>
      </c>
      <c r="T633">
        <v>15</v>
      </c>
      <c r="U633" t="str">
        <f t="shared" si="19"/>
        <v>Cecilie Kvamme:2</v>
      </c>
    </row>
    <row r="634" spans="1:21" x14ac:dyDescent="0.2">
      <c r="A634" t="s">
        <v>68</v>
      </c>
      <c r="B634" t="s">
        <v>606</v>
      </c>
      <c r="C634" t="s">
        <v>607</v>
      </c>
      <c r="D634" t="s">
        <v>42</v>
      </c>
      <c r="E634" t="s">
        <v>55</v>
      </c>
      <c r="F634">
        <v>24</v>
      </c>
      <c r="G634">
        <v>1995</v>
      </c>
      <c r="H634">
        <v>10</v>
      </c>
      <c r="I634">
        <v>0</v>
      </c>
      <c r="J634">
        <v>171</v>
      </c>
      <c r="K634">
        <v>1</v>
      </c>
      <c r="L634">
        <v>0</v>
      </c>
      <c r="M634">
        <v>1</v>
      </c>
      <c r="N634">
        <v>0</v>
      </c>
      <c r="O634">
        <v>0</v>
      </c>
      <c r="P634">
        <v>0</v>
      </c>
      <c r="Q634">
        <v>0</v>
      </c>
      <c r="R634">
        <f t="shared" si="18"/>
        <v>6.4977257959714094E-5</v>
      </c>
      <c r="S634" t="s">
        <v>424</v>
      </c>
      <c r="T634">
        <v>32</v>
      </c>
      <c r="U634" t="str">
        <f t="shared" si="19"/>
        <v>Chantelle Boye-Hlorkah:0</v>
      </c>
    </row>
    <row r="635" spans="1:21" x14ac:dyDescent="0.2">
      <c r="A635" t="s">
        <v>323</v>
      </c>
      <c r="B635" t="s">
        <v>606</v>
      </c>
      <c r="C635" t="s">
        <v>607</v>
      </c>
      <c r="D635" t="s">
        <v>23</v>
      </c>
      <c r="E635" t="s">
        <v>426</v>
      </c>
      <c r="F635">
        <v>22</v>
      </c>
      <c r="G635">
        <v>1998</v>
      </c>
      <c r="H635">
        <v>20</v>
      </c>
      <c r="I635">
        <v>17</v>
      </c>
      <c r="J635">
        <v>1459</v>
      </c>
      <c r="K635">
        <v>2</v>
      </c>
      <c r="L635">
        <v>1</v>
      </c>
      <c r="M635">
        <v>2</v>
      </c>
      <c r="N635">
        <v>0</v>
      </c>
      <c r="O635">
        <v>0</v>
      </c>
      <c r="P635">
        <v>2</v>
      </c>
      <c r="Q635">
        <v>0</v>
      </c>
      <c r="R635">
        <f t="shared" si="18"/>
        <v>1.5231132434696521E-5</v>
      </c>
      <c r="S635" t="s">
        <v>424</v>
      </c>
      <c r="T635">
        <v>12</v>
      </c>
      <c r="U635" t="str">
        <f t="shared" si="19"/>
        <v>Charlie Wellings:1</v>
      </c>
    </row>
    <row r="636" spans="1:21" x14ac:dyDescent="0.2">
      <c r="A636" t="s">
        <v>343</v>
      </c>
      <c r="B636" t="s">
        <v>652</v>
      </c>
      <c r="C636" t="s">
        <v>653</v>
      </c>
      <c r="D636" t="s">
        <v>34</v>
      </c>
      <c r="E636" t="s">
        <v>37</v>
      </c>
      <c r="F636">
        <v>25</v>
      </c>
      <c r="G636">
        <v>1995</v>
      </c>
      <c r="H636">
        <v>17</v>
      </c>
      <c r="I636">
        <v>15</v>
      </c>
      <c r="J636">
        <v>1326</v>
      </c>
      <c r="K636">
        <v>1</v>
      </c>
      <c r="L636">
        <v>0</v>
      </c>
      <c r="M636">
        <v>1</v>
      </c>
      <c r="N636">
        <v>0</v>
      </c>
      <c r="O636">
        <v>0</v>
      </c>
      <c r="P636">
        <v>3</v>
      </c>
      <c r="Q636">
        <v>0</v>
      </c>
      <c r="R636">
        <f t="shared" si="18"/>
        <v>8.3794201441260266E-6</v>
      </c>
      <c r="S636" t="s">
        <v>424</v>
      </c>
      <c r="T636">
        <v>15</v>
      </c>
      <c r="U636" t="str">
        <f t="shared" si="19"/>
        <v>Chloe Arthur:0</v>
      </c>
    </row>
    <row r="637" spans="1:21" x14ac:dyDescent="0.2">
      <c r="A637" t="s">
        <v>177</v>
      </c>
      <c r="B637" t="s">
        <v>606</v>
      </c>
      <c r="C637" t="s">
        <v>607</v>
      </c>
      <c r="D637" t="s">
        <v>26</v>
      </c>
      <c r="E637" t="s">
        <v>32</v>
      </c>
      <c r="F637">
        <v>22</v>
      </c>
      <c r="G637">
        <v>1998</v>
      </c>
      <c r="H637">
        <v>21</v>
      </c>
      <c r="I637">
        <v>20</v>
      </c>
      <c r="J637">
        <v>1702</v>
      </c>
      <c r="K637">
        <v>10</v>
      </c>
      <c r="L637">
        <v>11</v>
      </c>
      <c r="M637">
        <v>8</v>
      </c>
      <c r="N637">
        <v>2</v>
      </c>
      <c r="O637">
        <v>2</v>
      </c>
      <c r="P637">
        <v>1</v>
      </c>
      <c r="Q637">
        <v>0</v>
      </c>
      <c r="R637">
        <f t="shared" si="18"/>
        <v>6.5282673978326155E-5</v>
      </c>
      <c r="S637" t="s">
        <v>424</v>
      </c>
      <c r="T637">
        <v>55</v>
      </c>
      <c r="U637" t="str">
        <f t="shared" si="19"/>
        <v>Chloe Kelly:11</v>
      </c>
    </row>
    <row r="638" spans="1:21" x14ac:dyDescent="0.2">
      <c r="A638" t="s">
        <v>461</v>
      </c>
      <c r="B638" t="s">
        <v>612</v>
      </c>
      <c r="C638" t="s">
        <v>613</v>
      </c>
      <c r="D638" t="s">
        <v>23</v>
      </c>
      <c r="E638" t="s">
        <v>426</v>
      </c>
      <c r="F638">
        <v>25</v>
      </c>
      <c r="G638">
        <v>1994</v>
      </c>
      <c r="H638">
        <v>8</v>
      </c>
      <c r="I638">
        <v>7</v>
      </c>
      <c r="J638">
        <v>585</v>
      </c>
      <c r="K638">
        <v>1</v>
      </c>
      <c r="L638">
        <v>0</v>
      </c>
      <c r="M638">
        <v>0</v>
      </c>
      <c r="N638">
        <v>1</v>
      </c>
      <c r="O638">
        <v>1</v>
      </c>
      <c r="P638">
        <v>0</v>
      </c>
      <c r="Q638">
        <v>0</v>
      </c>
      <c r="R638">
        <f t="shared" si="18"/>
        <v>1.8993352326685662E-5</v>
      </c>
      <c r="S638" t="s">
        <v>424</v>
      </c>
      <c r="T638">
        <v>12</v>
      </c>
      <c r="U638" t="str">
        <f t="shared" si="19"/>
        <v>Chloe Logarzo:0</v>
      </c>
    </row>
    <row r="639" spans="1:21" x14ac:dyDescent="0.2">
      <c r="A639" t="s">
        <v>464</v>
      </c>
      <c r="B639" t="s">
        <v>646</v>
      </c>
      <c r="C639" t="s">
        <v>647</v>
      </c>
      <c r="D639" t="s">
        <v>34</v>
      </c>
      <c r="E639" t="s">
        <v>360</v>
      </c>
      <c r="F639">
        <v>22</v>
      </c>
      <c r="G639">
        <v>1997</v>
      </c>
      <c r="H639">
        <v>10</v>
      </c>
      <c r="I639">
        <v>4</v>
      </c>
      <c r="J639">
        <v>296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1</v>
      </c>
      <c r="Q639">
        <v>0</v>
      </c>
      <c r="R639">
        <f t="shared" si="18"/>
        <v>0</v>
      </c>
      <c r="S639" t="s">
        <v>424</v>
      </c>
      <c r="T639">
        <v>14</v>
      </c>
      <c r="U639" t="str">
        <f t="shared" si="19"/>
        <v>Chloe McCarron:0</v>
      </c>
    </row>
    <row r="640" spans="1:21" x14ac:dyDescent="0.2">
      <c r="A640" t="s">
        <v>397</v>
      </c>
      <c r="B640" t="s">
        <v>606</v>
      </c>
      <c r="C640" t="s">
        <v>607</v>
      </c>
      <c r="D640" t="s">
        <v>34</v>
      </c>
      <c r="E640" t="s">
        <v>30</v>
      </c>
      <c r="F640">
        <v>21</v>
      </c>
      <c r="G640">
        <v>1998</v>
      </c>
      <c r="H640">
        <v>4</v>
      </c>
      <c r="I640">
        <v>2</v>
      </c>
      <c r="J640">
        <v>156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f t="shared" si="18"/>
        <v>0</v>
      </c>
      <c r="S640" t="s">
        <v>424</v>
      </c>
      <c r="T640">
        <v>20</v>
      </c>
      <c r="U640" t="str">
        <f t="shared" si="19"/>
        <v>Chloe Peplow:0</v>
      </c>
    </row>
    <row r="641" spans="1:21" x14ac:dyDescent="0.2">
      <c r="A641" t="s">
        <v>284</v>
      </c>
      <c r="B641" t="s">
        <v>640</v>
      </c>
      <c r="C641" t="s">
        <v>641</v>
      </c>
      <c r="D641" t="s">
        <v>94</v>
      </c>
      <c r="E641" t="s">
        <v>24</v>
      </c>
      <c r="F641">
        <v>32</v>
      </c>
      <c r="G641">
        <v>1988</v>
      </c>
      <c r="H641">
        <v>9</v>
      </c>
      <c r="I641">
        <v>8</v>
      </c>
      <c r="J641">
        <v>699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f t="shared" si="18"/>
        <v>0</v>
      </c>
      <c r="S641" t="s">
        <v>424</v>
      </c>
      <c r="T641">
        <v>15</v>
      </c>
      <c r="U641" t="str">
        <f t="shared" si="19"/>
        <v>Cho So-hyun:0</v>
      </c>
    </row>
    <row r="642" spans="1:21" x14ac:dyDescent="0.2">
      <c r="A642" t="s">
        <v>284</v>
      </c>
      <c r="B642" t="s">
        <v>640</v>
      </c>
      <c r="C642" t="s">
        <v>641</v>
      </c>
      <c r="D642" t="s">
        <v>34</v>
      </c>
      <c r="E642" t="s">
        <v>30</v>
      </c>
      <c r="F642">
        <v>32</v>
      </c>
      <c r="G642">
        <v>1988</v>
      </c>
      <c r="H642">
        <v>7</v>
      </c>
      <c r="I642">
        <v>5</v>
      </c>
      <c r="J642">
        <v>383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1</v>
      </c>
      <c r="Q642">
        <v>0</v>
      </c>
      <c r="R642">
        <f t="shared" si="18"/>
        <v>0</v>
      </c>
      <c r="S642" t="s">
        <v>424</v>
      </c>
      <c r="T642">
        <v>20</v>
      </c>
      <c r="U642" t="str">
        <f t="shared" si="19"/>
        <v>Cho So-hyun:0</v>
      </c>
    </row>
    <row r="643" spans="1:21" x14ac:dyDescent="0.2">
      <c r="A643" t="s">
        <v>475</v>
      </c>
      <c r="B643" t="s">
        <v>638</v>
      </c>
      <c r="C643" t="s">
        <v>639</v>
      </c>
      <c r="D643" t="s">
        <v>26</v>
      </c>
      <c r="E643" t="s">
        <v>52</v>
      </c>
      <c r="F643">
        <v>31</v>
      </c>
      <c r="G643">
        <v>1988</v>
      </c>
      <c r="H643">
        <v>14</v>
      </c>
      <c r="I643">
        <v>12</v>
      </c>
      <c r="J643">
        <v>954</v>
      </c>
      <c r="K643">
        <v>4</v>
      </c>
      <c r="L643">
        <v>1</v>
      </c>
      <c r="M643">
        <v>4</v>
      </c>
      <c r="N643">
        <v>0</v>
      </c>
      <c r="O643">
        <v>0</v>
      </c>
      <c r="P643">
        <v>2</v>
      </c>
      <c r="Q643">
        <v>0</v>
      </c>
      <c r="R643">
        <f t="shared" ref="R643:R706" si="20">K643/J643/90</f>
        <v>4.658746797111577E-5</v>
      </c>
      <c r="S643" t="s">
        <v>424</v>
      </c>
      <c r="T643">
        <v>47</v>
      </c>
      <c r="U643" t="str">
        <f t="shared" ref="U643:U706" si="21">CONCATENATE(A643, ":", L643)</f>
        <v>Christen Press:1</v>
      </c>
    </row>
    <row r="644" spans="1:21" x14ac:dyDescent="0.2">
      <c r="A644" t="s">
        <v>393</v>
      </c>
      <c r="B644" t="s">
        <v>652</v>
      </c>
      <c r="C644" t="s">
        <v>653</v>
      </c>
      <c r="D644" t="s">
        <v>34</v>
      </c>
      <c r="E644" t="s">
        <v>360</v>
      </c>
      <c r="F644">
        <v>30</v>
      </c>
      <c r="G644">
        <v>1990</v>
      </c>
      <c r="H644">
        <v>16</v>
      </c>
      <c r="I644">
        <v>15</v>
      </c>
      <c r="J644">
        <v>1395</v>
      </c>
      <c r="K644">
        <v>2</v>
      </c>
      <c r="L644">
        <v>0</v>
      </c>
      <c r="M644">
        <v>1</v>
      </c>
      <c r="N644">
        <v>1</v>
      </c>
      <c r="O644">
        <v>1</v>
      </c>
      <c r="P644">
        <v>1</v>
      </c>
      <c r="Q644">
        <v>0</v>
      </c>
      <c r="R644">
        <f t="shared" si="20"/>
        <v>1.5929908403026682E-5</v>
      </c>
      <c r="S644" t="s">
        <v>424</v>
      </c>
      <c r="T644">
        <v>14</v>
      </c>
      <c r="U644" t="str">
        <f t="shared" si="21"/>
        <v>Christie Murray:0</v>
      </c>
    </row>
    <row r="645" spans="1:21" x14ac:dyDescent="0.2">
      <c r="A645" t="s">
        <v>364</v>
      </c>
      <c r="B645" t="s">
        <v>652</v>
      </c>
      <c r="C645" t="s">
        <v>653</v>
      </c>
      <c r="D645" t="s">
        <v>26</v>
      </c>
      <c r="E645" t="s">
        <v>55</v>
      </c>
      <c r="F645">
        <v>26</v>
      </c>
      <c r="G645">
        <v>1994</v>
      </c>
      <c r="H645">
        <v>19</v>
      </c>
      <c r="I645">
        <v>16</v>
      </c>
      <c r="J645">
        <v>1289</v>
      </c>
      <c r="K645">
        <v>3</v>
      </c>
      <c r="L645">
        <v>5</v>
      </c>
      <c r="M645">
        <v>3</v>
      </c>
      <c r="N645">
        <v>0</v>
      </c>
      <c r="O645">
        <v>0</v>
      </c>
      <c r="P645">
        <v>2</v>
      </c>
      <c r="Q645">
        <v>0</v>
      </c>
      <c r="R645">
        <f t="shared" si="20"/>
        <v>2.5859839668994051E-5</v>
      </c>
      <c r="S645" t="s">
        <v>424</v>
      </c>
      <c r="T645">
        <v>32</v>
      </c>
      <c r="U645" t="str">
        <f t="shared" si="21"/>
        <v>Claire Emslie:5</v>
      </c>
    </row>
    <row r="646" spans="1:21" x14ac:dyDescent="0.2">
      <c r="A646" t="s">
        <v>318</v>
      </c>
      <c r="B646" t="s">
        <v>606</v>
      </c>
      <c r="C646" t="s">
        <v>607</v>
      </c>
      <c r="D646" t="s">
        <v>26</v>
      </c>
      <c r="E646" t="s">
        <v>360</v>
      </c>
      <c r="F646">
        <v>24</v>
      </c>
      <c r="G646">
        <v>1996</v>
      </c>
      <c r="H646">
        <v>21</v>
      </c>
      <c r="I646">
        <v>20</v>
      </c>
      <c r="J646">
        <v>1825</v>
      </c>
      <c r="K646">
        <v>5</v>
      </c>
      <c r="L646">
        <v>0</v>
      </c>
      <c r="M646">
        <v>5</v>
      </c>
      <c r="N646">
        <v>0</v>
      </c>
      <c r="O646">
        <v>1</v>
      </c>
      <c r="P646">
        <v>0</v>
      </c>
      <c r="Q646">
        <v>0</v>
      </c>
      <c r="R646">
        <f t="shared" si="20"/>
        <v>3.0441400304414002E-5</v>
      </c>
      <c r="S646" t="s">
        <v>424</v>
      </c>
      <c r="T646">
        <v>14</v>
      </c>
      <c r="U646" t="str">
        <f t="shared" si="21"/>
        <v>Claudia Walker:0</v>
      </c>
    </row>
    <row r="647" spans="1:21" x14ac:dyDescent="0.2">
      <c r="A647" t="s">
        <v>271</v>
      </c>
      <c r="B647" t="s">
        <v>606</v>
      </c>
      <c r="C647" t="s">
        <v>607</v>
      </c>
      <c r="D647" t="s">
        <v>34</v>
      </c>
      <c r="E647" t="s">
        <v>360</v>
      </c>
      <c r="F647">
        <v>21</v>
      </c>
      <c r="G647">
        <v>1999</v>
      </c>
      <c r="H647">
        <v>8</v>
      </c>
      <c r="I647">
        <v>6</v>
      </c>
      <c r="J647">
        <v>571</v>
      </c>
      <c r="K647">
        <v>0</v>
      </c>
      <c r="L647">
        <v>2</v>
      </c>
      <c r="M647">
        <v>0</v>
      </c>
      <c r="N647">
        <v>0</v>
      </c>
      <c r="O647">
        <v>0</v>
      </c>
      <c r="P647">
        <v>2</v>
      </c>
      <c r="Q647">
        <v>0</v>
      </c>
      <c r="R647">
        <f t="shared" si="20"/>
        <v>0</v>
      </c>
      <c r="S647" t="s">
        <v>424</v>
      </c>
      <c r="T647">
        <v>14</v>
      </c>
      <c r="U647" t="str">
        <f t="shared" si="21"/>
        <v>Connie Scofield:2</v>
      </c>
    </row>
    <row r="648" spans="1:21" x14ac:dyDescent="0.2">
      <c r="A648" t="s">
        <v>71</v>
      </c>
      <c r="B648" t="s">
        <v>632</v>
      </c>
      <c r="C648" t="s">
        <v>633</v>
      </c>
      <c r="D648" t="s">
        <v>40</v>
      </c>
      <c r="E648" t="s">
        <v>24</v>
      </c>
      <c r="F648">
        <v>24</v>
      </c>
      <c r="G648">
        <v>1995</v>
      </c>
      <c r="H648">
        <v>6</v>
      </c>
      <c r="I648">
        <v>6</v>
      </c>
      <c r="J648">
        <v>540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f t="shared" si="20"/>
        <v>0</v>
      </c>
      <c r="S648" t="s">
        <v>424</v>
      </c>
      <c r="T648">
        <v>15</v>
      </c>
      <c r="U648" t="str">
        <f t="shared" si="21"/>
        <v>Courtney Brosnan:0</v>
      </c>
    </row>
    <row r="649" spans="1:21" x14ac:dyDescent="0.2">
      <c r="A649" t="s">
        <v>73</v>
      </c>
      <c r="B649" t="s">
        <v>642</v>
      </c>
      <c r="C649" t="s">
        <v>643</v>
      </c>
      <c r="D649" t="s">
        <v>34</v>
      </c>
      <c r="E649" t="s">
        <v>24</v>
      </c>
      <c r="F649">
        <v>28</v>
      </c>
      <c r="G649">
        <v>1991</v>
      </c>
      <c r="H649">
        <v>9</v>
      </c>
      <c r="I649">
        <v>9</v>
      </c>
      <c r="J649">
        <v>802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f t="shared" si="20"/>
        <v>0</v>
      </c>
      <c r="S649" t="s">
        <v>424</v>
      </c>
      <c r="T649">
        <v>15</v>
      </c>
      <c r="U649" t="str">
        <f t="shared" si="21"/>
        <v>Dagný Brynjarsdóttir:0</v>
      </c>
    </row>
    <row r="650" spans="1:21" x14ac:dyDescent="0.2">
      <c r="A650" t="s">
        <v>438</v>
      </c>
      <c r="B650" t="s">
        <v>626</v>
      </c>
      <c r="C650" t="s">
        <v>627</v>
      </c>
      <c r="D650" t="s">
        <v>94</v>
      </c>
      <c r="E650" t="s">
        <v>55</v>
      </c>
      <c r="F650">
        <v>20</v>
      </c>
      <c r="G650">
        <v>1999</v>
      </c>
      <c r="H650">
        <v>6</v>
      </c>
      <c r="I650">
        <v>6</v>
      </c>
      <c r="J650">
        <v>526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f t="shared" si="20"/>
        <v>0</v>
      </c>
      <c r="S650" t="s">
        <v>424</v>
      </c>
      <c r="T650">
        <v>32</v>
      </c>
      <c r="U650" t="str">
        <f t="shared" si="21"/>
        <v>Damaris Egurrola:0</v>
      </c>
    </row>
    <row r="651" spans="1:21" x14ac:dyDescent="0.2">
      <c r="A651" t="s">
        <v>354</v>
      </c>
      <c r="B651" t="s">
        <v>606</v>
      </c>
      <c r="C651" t="s">
        <v>607</v>
      </c>
      <c r="D651" t="s">
        <v>94</v>
      </c>
      <c r="E651" t="s">
        <v>48</v>
      </c>
      <c r="F651">
        <v>31</v>
      </c>
      <c r="G651">
        <v>1988</v>
      </c>
      <c r="H651">
        <v>13</v>
      </c>
      <c r="I651">
        <v>12</v>
      </c>
      <c r="J651">
        <v>1039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3</v>
      </c>
      <c r="Q651">
        <v>0</v>
      </c>
      <c r="R651">
        <f t="shared" si="20"/>
        <v>0</v>
      </c>
      <c r="S651" t="s">
        <v>424</v>
      </c>
      <c r="T651">
        <v>27</v>
      </c>
      <c r="U651" t="str">
        <f t="shared" si="21"/>
        <v>Danielle Buet:0</v>
      </c>
    </row>
    <row r="652" spans="1:21" x14ac:dyDescent="0.2">
      <c r="A652" t="s">
        <v>82</v>
      </c>
      <c r="B652" t="s">
        <v>606</v>
      </c>
      <c r="C652" t="s">
        <v>607</v>
      </c>
      <c r="D652" t="s">
        <v>26</v>
      </c>
      <c r="E652" t="s">
        <v>35</v>
      </c>
      <c r="F652">
        <v>27</v>
      </c>
      <c r="G652">
        <v>1993</v>
      </c>
      <c r="H652">
        <v>21</v>
      </c>
      <c r="I652">
        <v>14</v>
      </c>
      <c r="J652">
        <v>1302</v>
      </c>
      <c r="K652">
        <v>3</v>
      </c>
      <c r="L652">
        <v>0</v>
      </c>
      <c r="M652">
        <v>3</v>
      </c>
      <c r="N652">
        <v>0</v>
      </c>
      <c r="O652">
        <v>0</v>
      </c>
      <c r="P652">
        <v>1</v>
      </c>
      <c r="Q652">
        <v>0</v>
      </c>
      <c r="R652">
        <f t="shared" si="20"/>
        <v>2.5601638504864311E-5</v>
      </c>
      <c r="S652" t="s">
        <v>424</v>
      </c>
      <c r="T652">
        <v>24</v>
      </c>
      <c r="U652" t="str">
        <f t="shared" si="21"/>
        <v>Danielle Carter:0</v>
      </c>
    </row>
    <row r="653" spans="1:21" x14ac:dyDescent="0.2">
      <c r="A653" t="s">
        <v>309</v>
      </c>
      <c r="B653" t="s">
        <v>606</v>
      </c>
      <c r="C653" t="s">
        <v>607</v>
      </c>
      <c r="D653" t="s">
        <v>50</v>
      </c>
      <c r="E653" t="s">
        <v>55</v>
      </c>
      <c r="F653">
        <v>29</v>
      </c>
      <c r="G653">
        <v>1991</v>
      </c>
      <c r="H653">
        <v>14</v>
      </c>
      <c r="I653">
        <v>14</v>
      </c>
      <c r="J653">
        <v>1129</v>
      </c>
      <c r="K653">
        <v>1</v>
      </c>
      <c r="L653">
        <v>0</v>
      </c>
      <c r="M653">
        <v>1</v>
      </c>
      <c r="N653">
        <v>0</v>
      </c>
      <c r="O653">
        <v>0</v>
      </c>
      <c r="P653">
        <v>0</v>
      </c>
      <c r="Q653">
        <v>0</v>
      </c>
      <c r="R653">
        <f t="shared" si="20"/>
        <v>9.8415510284420823E-6</v>
      </c>
      <c r="S653" t="s">
        <v>424</v>
      </c>
      <c r="T653">
        <v>32</v>
      </c>
      <c r="U653" t="str">
        <f t="shared" si="21"/>
        <v>Danielle Turner:0</v>
      </c>
    </row>
    <row r="654" spans="1:21" x14ac:dyDescent="0.2">
      <c r="A654" t="s">
        <v>436</v>
      </c>
      <c r="B654" t="s">
        <v>626</v>
      </c>
      <c r="C654" t="s">
        <v>627</v>
      </c>
      <c r="D654" t="s">
        <v>23</v>
      </c>
      <c r="E654" t="s">
        <v>27</v>
      </c>
      <c r="F654">
        <v>28</v>
      </c>
      <c r="G654">
        <v>1991</v>
      </c>
      <c r="H654">
        <v>21</v>
      </c>
      <c r="I654">
        <v>14</v>
      </c>
      <c r="J654">
        <v>1259</v>
      </c>
      <c r="K654">
        <v>2</v>
      </c>
      <c r="L654">
        <v>2</v>
      </c>
      <c r="M654">
        <v>2</v>
      </c>
      <c r="N654">
        <v>0</v>
      </c>
      <c r="O654">
        <v>0</v>
      </c>
      <c r="P654">
        <v>1</v>
      </c>
      <c r="Q654">
        <v>0</v>
      </c>
      <c r="R654">
        <f t="shared" si="20"/>
        <v>1.7650692789691993E-5</v>
      </c>
      <c r="S654" t="s">
        <v>424</v>
      </c>
      <c r="T654">
        <v>48</v>
      </c>
      <c r="U654" t="str">
        <f t="shared" si="21"/>
        <v>Daniëlle van de Donk:2</v>
      </c>
    </row>
    <row r="655" spans="1:21" x14ac:dyDescent="0.2">
      <c r="A655" t="s">
        <v>389</v>
      </c>
      <c r="B655" t="s">
        <v>626</v>
      </c>
      <c r="C655" t="s">
        <v>627</v>
      </c>
      <c r="D655" t="s">
        <v>50</v>
      </c>
      <c r="E655" t="s">
        <v>48</v>
      </c>
      <c r="F655">
        <v>24</v>
      </c>
      <c r="G655">
        <v>1996</v>
      </c>
      <c r="H655">
        <v>19</v>
      </c>
      <c r="I655">
        <v>16</v>
      </c>
      <c r="J655">
        <v>1516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5</v>
      </c>
      <c r="Q655">
        <v>0</v>
      </c>
      <c r="R655">
        <f t="shared" si="20"/>
        <v>0</v>
      </c>
      <c r="S655" t="s">
        <v>424</v>
      </c>
      <c r="T655">
        <v>27</v>
      </c>
      <c r="U655" t="str">
        <f t="shared" si="21"/>
        <v>Danique Kerkdijk:0</v>
      </c>
    </row>
    <row r="656" spans="1:21" x14ac:dyDescent="0.2">
      <c r="A656" t="s">
        <v>97</v>
      </c>
      <c r="B656" t="s">
        <v>606</v>
      </c>
      <c r="C656" t="s">
        <v>607</v>
      </c>
      <c r="D656" t="s">
        <v>50</v>
      </c>
      <c r="E656" t="s">
        <v>35</v>
      </c>
      <c r="F656">
        <v>27</v>
      </c>
      <c r="G656">
        <v>1993</v>
      </c>
      <c r="H656">
        <v>21</v>
      </c>
      <c r="I656">
        <v>20</v>
      </c>
      <c r="J656">
        <v>1737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3</v>
      </c>
      <c r="Q656">
        <v>0</v>
      </c>
      <c r="R656">
        <f t="shared" si="20"/>
        <v>0</v>
      </c>
      <c r="S656" t="s">
        <v>424</v>
      </c>
      <c r="T656">
        <v>24</v>
      </c>
      <c r="U656" t="str">
        <f t="shared" si="21"/>
        <v>Deanna Cooper:0</v>
      </c>
    </row>
    <row r="657" spans="1:21" x14ac:dyDescent="0.2">
      <c r="A657" t="s">
        <v>291</v>
      </c>
      <c r="B657" t="s">
        <v>606</v>
      </c>
      <c r="C657" t="s">
        <v>607</v>
      </c>
      <c r="D657" t="s">
        <v>50</v>
      </c>
      <c r="E657" t="s">
        <v>32</v>
      </c>
      <c r="F657">
        <v>28</v>
      </c>
      <c r="G657">
        <v>1991</v>
      </c>
      <c r="H657">
        <v>10</v>
      </c>
      <c r="I657">
        <v>8</v>
      </c>
      <c r="J657">
        <v>731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f t="shared" si="20"/>
        <v>0</v>
      </c>
      <c r="S657" t="s">
        <v>424</v>
      </c>
      <c r="T657">
        <v>55</v>
      </c>
      <c r="U657" t="str">
        <f t="shared" si="21"/>
        <v>Demi Stokes:0</v>
      </c>
    </row>
    <row r="658" spans="1:21" x14ac:dyDescent="0.2">
      <c r="A658" t="s">
        <v>472</v>
      </c>
      <c r="B658" t="s">
        <v>632</v>
      </c>
      <c r="C658" t="s">
        <v>633</v>
      </c>
      <c r="D658" t="s">
        <v>23</v>
      </c>
      <c r="E658" t="s">
        <v>48</v>
      </c>
      <c r="F658">
        <v>26</v>
      </c>
      <c r="G658">
        <v>1994</v>
      </c>
      <c r="H658">
        <v>9</v>
      </c>
      <c r="I658">
        <v>8</v>
      </c>
      <c r="J658">
        <v>761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f t="shared" si="20"/>
        <v>0</v>
      </c>
      <c r="S658" t="s">
        <v>424</v>
      </c>
      <c r="T658">
        <v>27</v>
      </c>
      <c r="U658" t="str">
        <f t="shared" si="21"/>
        <v>Denise O'Sullivan:0</v>
      </c>
    </row>
    <row r="659" spans="1:21" x14ac:dyDescent="0.2">
      <c r="A659" t="s">
        <v>488</v>
      </c>
      <c r="B659" t="s">
        <v>606</v>
      </c>
      <c r="C659" t="s">
        <v>607</v>
      </c>
      <c r="D659" t="s">
        <v>23</v>
      </c>
      <c r="E659" t="s">
        <v>360</v>
      </c>
      <c r="H659">
        <v>6</v>
      </c>
      <c r="I659">
        <v>1</v>
      </c>
      <c r="J659">
        <v>74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f t="shared" si="20"/>
        <v>0</v>
      </c>
      <c r="S659" t="s">
        <v>424</v>
      </c>
      <c r="T659">
        <v>14</v>
      </c>
      <c r="U659" t="str">
        <f t="shared" si="21"/>
        <v>Destiney Toussaint:0</v>
      </c>
    </row>
    <row r="660" spans="1:21" x14ac:dyDescent="0.2">
      <c r="A660" t="s">
        <v>483</v>
      </c>
      <c r="B660" t="s">
        <v>678</v>
      </c>
      <c r="C660" t="s">
        <v>679</v>
      </c>
      <c r="D660" t="s">
        <v>26</v>
      </c>
      <c r="E660" t="s">
        <v>37</v>
      </c>
      <c r="F660">
        <v>25</v>
      </c>
      <c r="G660">
        <v>1995</v>
      </c>
      <c r="H660">
        <v>14</v>
      </c>
      <c r="I660">
        <v>4</v>
      </c>
      <c r="J660">
        <v>523</v>
      </c>
      <c r="K660">
        <v>1</v>
      </c>
      <c r="L660">
        <v>0</v>
      </c>
      <c r="M660">
        <v>1</v>
      </c>
      <c r="N660">
        <v>0</v>
      </c>
      <c r="O660">
        <v>0</v>
      </c>
      <c r="P660">
        <v>1</v>
      </c>
      <c r="Q660">
        <v>0</v>
      </c>
      <c r="R660">
        <f t="shared" si="20"/>
        <v>2.1244954323348205E-5</v>
      </c>
      <c r="S660" t="s">
        <v>424</v>
      </c>
      <c r="T660">
        <v>15</v>
      </c>
      <c r="U660" t="str">
        <f t="shared" si="21"/>
        <v>Diana Silva:0</v>
      </c>
    </row>
    <row r="661" spans="1:21" x14ac:dyDescent="0.2">
      <c r="A661" t="s">
        <v>285</v>
      </c>
      <c r="B661" t="s">
        <v>650</v>
      </c>
      <c r="C661" t="s">
        <v>651</v>
      </c>
      <c r="D661" t="s">
        <v>34</v>
      </c>
      <c r="E661" t="s">
        <v>20</v>
      </c>
      <c r="F661">
        <v>27</v>
      </c>
      <c r="G661">
        <v>1992</v>
      </c>
      <c r="H661">
        <v>8</v>
      </c>
      <c r="I661">
        <v>2</v>
      </c>
      <c r="J661">
        <v>249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1</v>
      </c>
      <c r="Q661">
        <v>0</v>
      </c>
      <c r="R661">
        <f t="shared" si="20"/>
        <v>0</v>
      </c>
      <c r="S661" t="s">
        <v>424</v>
      </c>
      <c r="T661">
        <v>57</v>
      </c>
      <c r="U661" t="str">
        <f t="shared" si="21"/>
        <v>Drew Spence:0</v>
      </c>
    </row>
    <row r="662" spans="1:21" x14ac:dyDescent="0.2">
      <c r="A662" t="s">
        <v>481</v>
      </c>
      <c r="B662" t="s">
        <v>606</v>
      </c>
      <c r="C662" t="s">
        <v>607</v>
      </c>
      <c r="D662" t="s">
        <v>42</v>
      </c>
      <c r="E662" t="s">
        <v>426</v>
      </c>
      <c r="F662">
        <v>19</v>
      </c>
      <c r="G662">
        <v>2001</v>
      </c>
      <c r="H662">
        <v>20</v>
      </c>
      <c r="I662">
        <v>15</v>
      </c>
      <c r="J662">
        <v>1516</v>
      </c>
      <c r="K662">
        <v>6</v>
      </c>
      <c r="L662">
        <v>1</v>
      </c>
      <c r="M662">
        <v>5</v>
      </c>
      <c r="N662">
        <v>1</v>
      </c>
      <c r="O662">
        <v>1</v>
      </c>
      <c r="P662">
        <v>1</v>
      </c>
      <c r="Q662">
        <v>0</v>
      </c>
      <c r="R662">
        <f t="shared" si="20"/>
        <v>4.3975373790677221E-5</v>
      </c>
      <c r="S662" t="s">
        <v>424</v>
      </c>
      <c r="T662">
        <v>12</v>
      </c>
      <c r="U662" t="str">
        <f t="shared" si="21"/>
        <v>Ebony Salmon:1</v>
      </c>
    </row>
    <row r="663" spans="1:21" x14ac:dyDescent="0.2">
      <c r="A663" t="s">
        <v>485</v>
      </c>
      <c r="B663" t="s">
        <v>606</v>
      </c>
      <c r="C663" t="s">
        <v>607</v>
      </c>
      <c r="D663" t="s">
        <v>34</v>
      </c>
      <c r="E663" t="s">
        <v>30</v>
      </c>
      <c r="F663">
        <v>19</v>
      </c>
      <c r="G663">
        <v>2001</v>
      </c>
      <c r="H663">
        <v>2</v>
      </c>
      <c r="I663">
        <v>0</v>
      </c>
      <c r="J663">
        <v>28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f t="shared" si="20"/>
        <v>0</v>
      </c>
      <c r="S663" t="s">
        <v>424</v>
      </c>
      <c r="T663">
        <v>20</v>
      </c>
      <c r="U663" t="str">
        <f t="shared" si="21"/>
        <v>Elish Sulola:0</v>
      </c>
    </row>
    <row r="664" spans="1:21" x14ac:dyDescent="0.2">
      <c r="A664" t="s">
        <v>394</v>
      </c>
      <c r="B664" t="s">
        <v>606</v>
      </c>
      <c r="C664" t="s">
        <v>607</v>
      </c>
      <c r="D664" t="s">
        <v>50</v>
      </c>
      <c r="E664" t="s">
        <v>37</v>
      </c>
      <c r="F664">
        <v>23</v>
      </c>
      <c r="G664">
        <v>1996</v>
      </c>
      <c r="H664">
        <v>20</v>
      </c>
      <c r="I664">
        <v>16</v>
      </c>
      <c r="J664">
        <v>1571</v>
      </c>
      <c r="K664">
        <v>0</v>
      </c>
      <c r="L664">
        <v>1</v>
      </c>
      <c r="M664">
        <v>0</v>
      </c>
      <c r="N664">
        <v>0</v>
      </c>
      <c r="O664">
        <v>0</v>
      </c>
      <c r="P664">
        <v>5</v>
      </c>
      <c r="Q664">
        <v>0</v>
      </c>
      <c r="R664">
        <f t="shared" si="20"/>
        <v>0</v>
      </c>
      <c r="S664" t="s">
        <v>424</v>
      </c>
      <c r="T664">
        <v>15</v>
      </c>
      <c r="U664" t="str">
        <f t="shared" si="21"/>
        <v>Elisha N'Dow:1</v>
      </c>
    </row>
    <row r="665" spans="1:21" x14ac:dyDescent="0.2">
      <c r="A665" t="s">
        <v>443</v>
      </c>
      <c r="B665" t="s">
        <v>606</v>
      </c>
      <c r="C665" t="s">
        <v>607</v>
      </c>
      <c r="D665" t="s">
        <v>50</v>
      </c>
      <c r="E665" t="s">
        <v>37</v>
      </c>
      <c r="F665">
        <v>23</v>
      </c>
      <c r="G665">
        <v>1997</v>
      </c>
      <c r="H665">
        <v>10</v>
      </c>
      <c r="I665">
        <v>10</v>
      </c>
      <c r="J665">
        <v>848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f t="shared" si="20"/>
        <v>0</v>
      </c>
      <c r="S665" t="s">
        <v>424</v>
      </c>
      <c r="T665">
        <v>15</v>
      </c>
      <c r="U665" t="str">
        <f t="shared" si="21"/>
        <v>Ella Franklin-Fraiture:0</v>
      </c>
    </row>
    <row r="666" spans="1:21" x14ac:dyDescent="0.2">
      <c r="A666" t="s">
        <v>463</v>
      </c>
      <c r="B666" t="s">
        <v>612</v>
      </c>
      <c r="C666" t="s">
        <v>613</v>
      </c>
      <c r="D666" t="s">
        <v>34</v>
      </c>
      <c r="E666" t="s">
        <v>426</v>
      </c>
      <c r="F666">
        <v>28</v>
      </c>
      <c r="G666">
        <v>1992</v>
      </c>
      <c r="H666">
        <v>15</v>
      </c>
      <c r="I666">
        <v>10</v>
      </c>
      <c r="J666">
        <v>921</v>
      </c>
      <c r="K666">
        <v>1</v>
      </c>
      <c r="L666">
        <v>2</v>
      </c>
      <c r="M666">
        <v>1</v>
      </c>
      <c r="N666">
        <v>0</v>
      </c>
      <c r="O666">
        <v>0</v>
      </c>
      <c r="P666">
        <v>1</v>
      </c>
      <c r="Q666">
        <v>0</v>
      </c>
      <c r="R666">
        <f t="shared" si="20"/>
        <v>1.2064181445288937E-5</v>
      </c>
      <c r="S666" t="s">
        <v>424</v>
      </c>
      <c r="T666">
        <v>12</v>
      </c>
      <c r="U666" t="str">
        <f t="shared" si="21"/>
        <v>Ella Mastrantonio:2</v>
      </c>
    </row>
    <row r="667" spans="1:21" x14ac:dyDescent="0.2">
      <c r="A667" t="s">
        <v>305</v>
      </c>
      <c r="B667" t="s">
        <v>606</v>
      </c>
      <c r="C667" t="s">
        <v>607</v>
      </c>
      <c r="D667" t="s">
        <v>23</v>
      </c>
      <c r="E667" t="s">
        <v>52</v>
      </c>
      <c r="F667">
        <v>20</v>
      </c>
      <c r="G667">
        <v>1999</v>
      </c>
      <c r="H667">
        <v>22</v>
      </c>
      <c r="I667">
        <v>21</v>
      </c>
      <c r="J667">
        <v>1776</v>
      </c>
      <c r="K667">
        <v>9</v>
      </c>
      <c r="L667">
        <v>5</v>
      </c>
      <c r="M667">
        <v>7</v>
      </c>
      <c r="N667">
        <v>2</v>
      </c>
      <c r="O667">
        <v>2</v>
      </c>
      <c r="P667">
        <v>1</v>
      </c>
      <c r="Q667">
        <v>0</v>
      </c>
      <c r="R667">
        <f t="shared" si="20"/>
        <v>5.6306306306306307E-5</v>
      </c>
      <c r="S667" t="s">
        <v>424</v>
      </c>
      <c r="T667">
        <v>47</v>
      </c>
      <c r="U667" t="str">
        <f t="shared" si="21"/>
        <v>Ella Toone:5</v>
      </c>
    </row>
    <row r="668" spans="1:21" x14ac:dyDescent="0.2">
      <c r="A668" t="s">
        <v>454</v>
      </c>
      <c r="B668" t="s">
        <v>606</v>
      </c>
      <c r="C668" t="s">
        <v>607</v>
      </c>
      <c r="D668" t="s">
        <v>34</v>
      </c>
      <c r="E668" t="s">
        <v>426</v>
      </c>
      <c r="F668">
        <v>17</v>
      </c>
      <c r="G668">
        <v>2002</v>
      </c>
      <c r="H668">
        <v>5</v>
      </c>
      <c r="I668">
        <v>1</v>
      </c>
      <c r="J668">
        <v>94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f t="shared" si="20"/>
        <v>0</v>
      </c>
      <c r="S668" t="s">
        <v>424</v>
      </c>
      <c r="T668">
        <v>12</v>
      </c>
      <c r="U668" t="str">
        <f t="shared" si="21"/>
        <v>Ellen Jones:0</v>
      </c>
    </row>
    <row r="669" spans="1:21" x14ac:dyDescent="0.2">
      <c r="A669" t="s">
        <v>420</v>
      </c>
      <c r="B669" t="s">
        <v>606</v>
      </c>
      <c r="C669" t="s">
        <v>607</v>
      </c>
      <c r="D669" t="s">
        <v>26</v>
      </c>
      <c r="E669" t="s">
        <v>32</v>
      </c>
      <c r="F669">
        <v>31</v>
      </c>
      <c r="G669">
        <v>1989</v>
      </c>
      <c r="H669">
        <v>22</v>
      </c>
      <c r="I669">
        <v>19</v>
      </c>
      <c r="J669">
        <v>1534</v>
      </c>
      <c r="K669">
        <v>10</v>
      </c>
      <c r="L669">
        <v>5</v>
      </c>
      <c r="M669">
        <v>10</v>
      </c>
      <c r="N669">
        <v>0</v>
      </c>
      <c r="O669">
        <v>0</v>
      </c>
      <c r="P669">
        <v>1</v>
      </c>
      <c r="Q669">
        <v>0</v>
      </c>
      <c r="R669">
        <f t="shared" si="20"/>
        <v>7.2432275822106339E-5</v>
      </c>
      <c r="S669" t="s">
        <v>424</v>
      </c>
      <c r="T669">
        <v>55</v>
      </c>
      <c r="U669" t="str">
        <f t="shared" si="21"/>
        <v>Ellen White:5</v>
      </c>
    </row>
    <row r="670" spans="1:21" x14ac:dyDescent="0.2">
      <c r="A670" t="s">
        <v>69</v>
      </c>
      <c r="B670" t="s">
        <v>606</v>
      </c>
      <c r="C670" t="s">
        <v>607</v>
      </c>
      <c r="D670" t="s">
        <v>42</v>
      </c>
      <c r="E670" t="s">
        <v>48</v>
      </c>
      <c r="F670">
        <v>21</v>
      </c>
      <c r="G670">
        <v>1999</v>
      </c>
      <c r="H670">
        <v>15</v>
      </c>
      <c r="I670">
        <v>13</v>
      </c>
      <c r="J670">
        <v>1221</v>
      </c>
      <c r="K670">
        <v>0</v>
      </c>
      <c r="L670">
        <v>1</v>
      </c>
      <c r="M670">
        <v>0</v>
      </c>
      <c r="N670">
        <v>0</v>
      </c>
      <c r="O670">
        <v>0</v>
      </c>
      <c r="P670">
        <v>1</v>
      </c>
      <c r="Q670">
        <v>0</v>
      </c>
      <c r="R670">
        <f t="shared" si="20"/>
        <v>0</v>
      </c>
      <c r="S670" t="s">
        <v>424</v>
      </c>
      <c r="T670">
        <v>27</v>
      </c>
      <c r="U670" t="str">
        <f t="shared" si="21"/>
        <v>Ellie Brazil:1</v>
      </c>
    </row>
    <row r="671" spans="1:21" x14ac:dyDescent="0.2">
      <c r="A671" t="s">
        <v>264</v>
      </c>
      <c r="B671" t="s">
        <v>606</v>
      </c>
      <c r="C671" t="s">
        <v>607</v>
      </c>
      <c r="D671" t="s">
        <v>40</v>
      </c>
      <c r="E671" t="s">
        <v>32</v>
      </c>
      <c r="F671">
        <v>20</v>
      </c>
      <c r="G671">
        <v>1999</v>
      </c>
      <c r="H671">
        <v>20</v>
      </c>
      <c r="I671">
        <v>20</v>
      </c>
      <c r="J671">
        <v>1800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f t="shared" si="20"/>
        <v>0</v>
      </c>
      <c r="S671" t="s">
        <v>424</v>
      </c>
      <c r="T671">
        <v>55</v>
      </c>
      <c r="U671" t="str">
        <f t="shared" si="21"/>
        <v>Ellie Roebuck:0</v>
      </c>
    </row>
    <row r="672" spans="1:21" x14ac:dyDescent="0.2">
      <c r="A672" t="s">
        <v>469</v>
      </c>
      <c r="B672" t="s">
        <v>606</v>
      </c>
      <c r="C672" t="s">
        <v>607</v>
      </c>
      <c r="D672" t="s">
        <v>26</v>
      </c>
      <c r="E672" t="s">
        <v>360</v>
      </c>
      <c r="F672">
        <v>17</v>
      </c>
      <c r="G672">
        <v>2003</v>
      </c>
      <c r="H672">
        <v>11</v>
      </c>
      <c r="I672">
        <v>8</v>
      </c>
      <c r="J672">
        <v>687</v>
      </c>
      <c r="K672">
        <v>1</v>
      </c>
      <c r="L672">
        <v>0</v>
      </c>
      <c r="M672">
        <v>1</v>
      </c>
      <c r="N672">
        <v>0</v>
      </c>
      <c r="O672">
        <v>0</v>
      </c>
      <c r="P672">
        <v>1</v>
      </c>
      <c r="Q672">
        <v>0</v>
      </c>
      <c r="R672">
        <f t="shared" si="20"/>
        <v>1.6173378618793465E-5</v>
      </c>
      <c r="S672" t="s">
        <v>424</v>
      </c>
      <c r="T672">
        <v>14</v>
      </c>
      <c r="U672" t="str">
        <f t="shared" si="21"/>
        <v>Emily Murphy:0</v>
      </c>
    </row>
    <row r="673" spans="1:21" x14ac:dyDescent="0.2">
      <c r="A673" t="s">
        <v>409</v>
      </c>
      <c r="B673" t="s">
        <v>606</v>
      </c>
      <c r="C673" t="s">
        <v>607</v>
      </c>
      <c r="D673" t="s">
        <v>23</v>
      </c>
      <c r="E673" t="s">
        <v>48</v>
      </c>
      <c r="F673">
        <v>30</v>
      </c>
      <c r="G673">
        <v>1990</v>
      </c>
      <c r="H673">
        <v>14</v>
      </c>
      <c r="I673">
        <v>7</v>
      </c>
      <c r="J673">
        <v>531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1</v>
      </c>
      <c r="Q673">
        <v>0</v>
      </c>
      <c r="R673">
        <f t="shared" si="20"/>
        <v>0</v>
      </c>
      <c r="S673" t="s">
        <v>424</v>
      </c>
      <c r="T673">
        <v>27</v>
      </c>
      <c r="U673" t="str">
        <f t="shared" si="21"/>
        <v>Emily Simpkins:0</v>
      </c>
    </row>
    <row r="674" spans="1:21" x14ac:dyDescent="0.2">
      <c r="A674" t="s">
        <v>486</v>
      </c>
      <c r="B674" t="s">
        <v>606</v>
      </c>
      <c r="C674" t="s">
        <v>607</v>
      </c>
      <c r="D674" t="s">
        <v>34</v>
      </c>
      <c r="E674" t="s">
        <v>37</v>
      </c>
      <c r="F674">
        <v>20</v>
      </c>
      <c r="G674">
        <v>2000</v>
      </c>
      <c r="H674">
        <v>15</v>
      </c>
      <c r="I674">
        <v>1</v>
      </c>
      <c r="J674">
        <v>273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f t="shared" si="20"/>
        <v>0</v>
      </c>
      <c r="S674" t="s">
        <v>424</v>
      </c>
      <c r="T674">
        <v>15</v>
      </c>
      <c r="U674" t="str">
        <f t="shared" si="21"/>
        <v>Emily Syme:0</v>
      </c>
    </row>
    <row r="675" spans="1:21" x14ac:dyDescent="0.2">
      <c r="A675" t="s">
        <v>437</v>
      </c>
      <c r="B675" t="s">
        <v>612</v>
      </c>
      <c r="C675" t="s">
        <v>613</v>
      </c>
      <c r="D675" t="s">
        <v>23</v>
      </c>
      <c r="E675" t="s">
        <v>24</v>
      </c>
      <c r="F675">
        <v>27</v>
      </c>
      <c r="G675">
        <v>1993</v>
      </c>
      <c r="H675">
        <v>21</v>
      </c>
      <c r="I675">
        <v>19</v>
      </c>
      <c r="J675">
        <v>1792</v>
      </c>
      <c r="K675">
        <v>4</v>
      </c>
      <c r="L675">
        <v>2</v>
      </c>
      <c r="M675">
        <v>4</v>
      </c>
      <c r="N675">
        <v>0</v>
      </c>
      <c r="O675">
        <v>0</v>
      </c>
      <c r="P675">
        <v>1</v>
      </c>
      <c r="Q675">
        <v>0</v>
      </c>
      <c r="R675">
        <f t="shared" si="20"/>
        <v>2.4801587301587302E-5</v>
      </c>
      <c r="S675" t="s">
        <v>424</v>
      </c>
      <c r="T675">
        <v>15</v>
      </c>
      <c r="U675" t="str">
        <f t="shared" si="21"/>
        <v>Emily van Egmond:2</v>
      </c>
    </row>
    <row r="676" spans="1:21" x14ac:dyDescent="0.2">
      <c r="A676" t="s">
        <v>431</v>
      </c>
      <c r="B676" t="s">
        <v>606</v>
      </c>
      <c r="C676" t="s">
        <v>607</v>
      </c>
      <c r="D676" t="s">
        <v>23</v>
      </c>
      <c r="E676" t="s">
        <v>426</v>
      </c>
      <c r="F676">
        <v>18</v>
      </c>
      <c r="G676">
        <v>2001</v>
      </c>
      <c r="H676">
        <v>18</v>
      </c>
      <c r="I676">
        <v>8</v>
      </c>
      <c r="J676">
        <v>794</v>
      </c>
      <c r="K676">
        <v>1</v>
      </c>
      <c r="L676">
        <v>0</v>
      </c>
      <c r="M676">
        <v>1</v>
      </c>
      <c r="N676">
        <v>0</v>
      </c>
      <c r="O676">
        <v>0</v>
      </c>
      <c r="P676">
        <v>0</v>
      </c>
      <c r="Q676">
        <v>0</v>
      </c>
      <c r="R676">
        <f t="shared" si="20"/>
        <v>1.3993842709207949E-5</v>
      </c>
      <c r="S676" t="s">
        <v>424</v>
      </c>
      <c r="T676">
        <v>12</v>
      </c>
      <c r="U676" t="str">
        <f t="shared" si="21"/>
        <v>Emma Bissell:0</v>
      </c>
    </row>
    <row r="677" spans="1:21" x14ac:dyDescent="0.2">
      <c r="A677" t="s">
        <v>442</v>
      </c>
      <c r="B677" t="s">
        <v>606</v>
      </c>
      <c r="C677" t="s">
        <v>607</v>
      </c>
      <c r="D677" t="s">
        <v>42</v>
      </c>
      <c r="E677" t="s">
        <v>37</v>
      </c>
      <c r="F677">
        <v>28</v>
      </c>
      <c r="G677">
        <v>1992</v>
      </c>
      <c r="H677">
        <v>15</v>
      </c>
      <c r="I677">
        <v>9</v>
      </c>
      <c r="J677">
        <v>732</v>
      </c>
      <c r="K677">
        <v>0</v>
      </c>
      <c r="L677">
        <v>3</v>
      </c>
      <c r="M677">
        <v>0</v>
      </c>
      <c r="N677">
        <v>0</v>
      </c>
      <c r="O677">
        <v>0</v>
      </c>
      <c r="P677">
        <v>0</v>
      </c>
      <c r="Q677">
        <v>0</v>
      </c>
      <c r="R677">
        <f t="shared" si="20"/>
        <v>0</v>
      </c>
      <c r="S677" t="s">
        <v>424</v>
      </c>
      <c r="T677">
        <v>15</v>
      </c>
      <c r="U677" t="str">
        <f t="shared" si="21"/>
        <v>Emma Follis:3</v>
      </c>
    </row>
    <row r="678" spans="1:21" x14ac:dyDescent="0.2">
      <c r="A678" t="s">
        <v>150</v>
      </c>
      <c r="B678" t="s">
        <v>606</v>
      </c>
      <c r="C678" t="s">
        <v>607</v>
      </c>
      <c r="D678" t="s">
        <v>26</v>
      </c>
      <c r="E678" t="s">
        <v>35</v>
      </c>
      <c r="F678">
        <v>18</v>
      </c>
      <c r="G678">
        <v>2002</v>
      </c>
      <c r="H678">
        <v>16</v>
      </c>
      <c r="I678">
        <v>7</v>
      </c>
      <c r="J678">
        <v>676</v>
      </c>
      <c r="K678">
        <v>1</v>
      </c>
      <c r="L678">
        <v>0</v>
      </c>
      <c r="M678">
        <v>1</v>
      </c>
      <c r="N678">
        <v>0</v>
      </c>
      <c r="O678">
        <v>0</v>
      </c>
      <c r="P678">
        <v>0</v>
      </c>
      <c r="Q678">
        <v>0</v>
      </c>
      <c r="R678">
        <f t="shared" si="20"/>
        <v>1.6436554898093359E-5</v>
      </c>
      <c r="S678" t="s">
        <v>424</v>
      </c>
      <c r="T678">
        <v>24</v>
      </c>
      <c r="U678" t="str">
        <f t="shared" si="21"/>
        <v>Emma Harries:0</v>
      </c>
    </row>
    <row r="679" spans="1:21" x14ac:dyDescent="0.2">
      <c r="A679" t="s">
        <v>183</v>
      </c>
      <c r="B679" t="s">
        <v>656</v>
      </c>
      <c r="C679" t="s">
        <v>657</v>
      </c>
      <c r="D679" t="s">
        <v>29</v>
      </c>
      <c r="E679" t="s">
        <v>48</v>
      </c>
      <c r="F679">
        <v>25</v>
      </c>
      <c r="G679">
        <v>1994</v>
      </c>
      <c r="H679">
        <v>9</v>
      </c>
      <c r="I679">
        <v>9</v>
      </c>
      <c r="J679">
        <v>765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1</v>
      </c>
      <c r="Q679">
        <v>0</v>
      </c>
      <c r="R679">
        <f t="shared" si="20"/>
        <v>0</v>
      </c>
      <c r="S679" t="s">
        <v>424</v>
      </c>
      <c r="T679">
        <v>27</v>
      </c>
      <c r="U679" t="str">
        <f t="shared" si="21"/>
        <v>Emma Koivisto:0</v>
      </c>
    </row>
    <row r="680" spans="1:21" x14ac:dyDescent="0.2">
      <c r="A680" t="s">
        <v>218</v>
      </c>
      <c r="B680" t="s">
        <v>652</v>
      </c>
      <c r="C680" t="s">
        <v>653</v>
      </c>
      <c r="D680" t="s">
        <v>50</v>
      </c>
      <c r="E680" t="s">
        <v>35</v>
      </c>
      <c r="F680">
        <v>27</v>
      </c>
      <c r="G680">
        <v>1992</v>
      </c>
      <c r="H680">
        <v>14</v>
      </c>
      <c r="I680">
        <v>14</v>
      </c>
      <c r="J680">
        <v>1204</v>
      </c>
      <c r="K680">
        <v>0</v>
      </c>
      <c r="L680">
        <v>4</v>
      </c>
      <c r="M680">
        <v>0</v>
      </c>
      <c r="N680">
        <v>0</v>
      </c>
      <c r="O680">
        <v>0</v>
      </c>
      <c r="P680">
        <v>2</v>
      </c>
      <c r="Q680">
        <v>0</v>
      </c>
      <c r="R680">
        <f t="shared" si="20"/>
        <v>0</v>
      </c>
      <c r="S680" t="s">
        <v>424</v>
      </c>
      <c r="T680">
        <v>24</v>
      </c>
      <c r="U680" t="str">
        <f t="shared" si="21"/>
        <v>Emma Mitchell:4</v>
      </c>
    </row>
    <row r="681" spans="1:21" x14ac:dyDescent="0.2">
      <c r="A681" t="s">
        <v>479</v>
      </c>
      <c r="B681" t="s">
        <v>606</v>
      </c>
      <c r="C681" t="s">
        <v>607</v>
      </c>
      <c r="D681" t="s">
        <v>94</v>
      </c>
      <c r="E681" t="s">
        <v>360</v>
      </c>
      <c r="F681">
        <v>23</v>
      </c>
      <c r="G681">
        <v>1997</v>
      </c>
      <c r="H681">
        <v>16</v>
      </c>
      <c r="I681">
        <v>8</v>
      </c>
      <c r="J681">
        <v>796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2</v>
      </c>
      <c r="Q681">
        <v>0</v>
      </c>
      <c r="R681">
        <f t="shared" si="20"/>
        <v>0</v>
      </c>
      <c r="S681" t="s">
        <v>424</v>
      </c>
      <c r="T681">
        <v>14</v>
      </c>
      <c r="U681" t="str">
        <f t="shared" si="21"/>
        <v>Emma Rose Kelly:0</v>
      </c>
    </row>
    <row r="682" spans="1:21" x14ac:dyDescent="0.2">
      <c r="A682" t="s">
        <v>100</v>
      </c>
      <c r="B682" t="s">
        <v>652</v>
      </c>
      <c r="C682" t="s">
        <v>653</v>
      </c>
      <c r="D682" t="s">
        <v>23</v>
      </c>
      <c r="E682" t="s">
        <v>20</v>
      </c>
      <c r="F682">
        <v>22</v>
      </c>
      <c r="G682">
        <v>1998</v>
      </c>
      <c r="H682">
        <v>19</v>
      </c>
      <c r="I682">
        <v>14</v>
      </c>
      <c r="J682">
        <v>1223</v>
      </c>
      <c r="K682">
        <v>2</v>
      </c>
      <c r="L682">
        <v>7</v>
      </c>
      <c r="M682">
        <v>2</v>
      </c>
      <c r="N682">
        <v>0</v>
      </c>
      <c r="O682">
        <v>0</v>
      </c>
      <c r="P682">
        <v>0</v>
      </c>
      <c r="Q682">
        <v>0</v>
      </c>
      <c r="R682">
        <f t="shared" si="20"/>
        <v>1.8170255292086855E-5</v>
      </c>
      <c r="S682" t="s">
        <v>424</v>
      </c>
      <c r="T682">
        <v>57</v>
      </c>
      <c r="U682" t="str">
        <f t="shared" si="21"/>
        <v>Erin Cuthbert:7</v>
      </c>
    </row>
    <row r="683" spans="1:21" x14ac:dyDescent="0.2">
      <c r="A683" t="s">
        <v>222</v>
      </c>
      <c r="B683" t="s">
        <v>606</v>
      </c>
      <c r="C683" t="s">
        <v>607</v>
      </c>
      <c r="D683" t="s">
        <v>50</v>
      </c>
      <c r="E683" t="s">
        <v>32</v>
      </c>
      <c r="F683">
        <v>19</v>
      </c>
      <c r="G683">
        <v>2000</v>
      </c>
      <c r="H683">
        <v>12</v>
      </c>
      <c r="I683">
        <v>10</v>
      </c>
      <c r="J683">
        <v>933</v>
      </c>
      <c r="K683">
        <v>1</v>
      </c>
      <c r="L683">
        <v>0</v>
      </c>
      <c r="M683">
        <v>1</v>
      </c>
      <c r="N683">
        <v>0</v>
      </c>
      <c r="O683">
        <v>0</v>
      </c>
      <c r="P683">
        <v>0</v>
      </c>
      <c r="Q683">
        <v>0</v>
      </c>
      <c r="R683">
        <f t="shared" si="20"/>
        <v>1.1909015124449208E-5</v>
      </c>
      <c r="S683" t="s">
        <v>424</v>
      </c>
      <c r="T683">
        <v>55</v>
      </c>
      <c r="U683" t="str">
        <f t="shared" si="21"/>
        <v>Esme Morgan:0</v>
      </c>
    </row>
    <row r="684" spans="1:21" x14ac:dyDescent="0.2">
      <c r="A684" t="s">
        <v>392</v>
      </c>
      <c r="B684" t="s">
        <v>624</v>
      </c>
      <c r="C684" t="s">
        <v>625</v>
      </c>
      <c r="D684" t="s">
        <v>50</v>
      </c>
      <c r="E684" t="s">
        <v>30</v>
      </c>
      <c r="F684">
        <v>17</v>
      </c>
      <c r="G684">
        <v>2002</v>
      </c>
      <c r="H684">
        <v>8</v>
      </c>
      <c r="I684">
        <v>7</v>
      </c>
      <c r="J684">
        <v>645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f t="shared" si="20"/>
        <v>0</v>
      </c>
      <c r="S684" t="s">
        <v>424</v>
      </c>
      <c r="T684">
        <v>20</v>
      </c>
      <c r="U684" t="str">
        <f t="shared" si="21"/>
        <v>Esther Morgan:0</v>
      </c>
    </row>
    <row r="685" spans="1:21" x14ac:dyDescent="0.2">
      <c r="A685" t="s">
        <v>492</v>
      </c>
      <c r="B685" t="s">
        <v>606</v>
      </c>
      <c r="C685" t="s">
        <v>607</v>
      </c>
      <c r="D685" t="s">
        <v>23</v>
      </c>
      <c r="E685" t="s">
        <v>35</v>
      </c>
      <c r="F685">
        <v>36</v>
      </c>
      <c r="G685">
        <v>1984</v>
      </c>
      <c r="H685">
        <v>17</v>
      </c>
      <c r="I685">
        <v>14</v>
      </c>
      <c r="J685">
        <v>1088</v>
      </c>
      <c r="K685">
        <v>3</v>
      </c>
      <c r="L685">
        <v>1</v>
      </c>
      <c r="M685">
        <v>1</v>
      </c>
      <c r="N685">
        <v>2</v>
      </c>
      <c r="O685">
        <v>2</v>
      </c>
      <c r="P685">
        <v>2</v>
      </c>
      <c r="Q685">
        <v>0</v>
      </c>
      <c r="R685">
        <f t="shared" si="20"/>
        <v>3.0637254901960784E-5</v>
      </c>
      <c r="S685" t="s">
        <v>424</v>
      </c>
      <c r="T685">
        <v>24</v>
      </c>
      <c r="U685" t="str">
        <f t="shared" si="21"/>
        <v>Fara Williams:1</v>
      </c>
    </row>
    <row r="686" spans="1:21" x14ac:dyDescent="0.2">
      <c r="A686" t="s">
        <v>74</v>
      </c>
      <c r="B686" t="s">
        <v>606</v>
      </c>
      <c r="C686" t="s">
        <v>607</v>
      </c>
      <c r="D686" t="s">
        <v>50</v>
      </c>
      <c r="E686" t="s">
        <v>426</v>
      </c>
      <c r="F686">
        <v>23</v>
      </c>
      <c r="G686">
        <v>1997</v>
      </c>
      <c r="H686">
        <v>15</v>
      </c>
      <c r="I686">
        <v>7</v>
      </c>
      <c r="J686">
        <v>717</v>
      </c>
      <c r="K686">
        <v>1</v>
      </c>
      <c r="L686">
        <v>0</v>
      </c>
      <c r="M686">
        <v>1</v>
      </c>
      <c r="N686">
        <v>0</v>
      </c>
      <c r="O686">
        <v>0</v>
      </c>
      <c r="P686">
        <v>4</v>
      </c>
      <c r="Q686">
        <v>0</v>
      </c>
      <c r="R686">
        <f t="shared" si="20"/>
        <v>1.5496668216333488E-5</v>
      </c>
      <c r="S686" t="s">
        <v>424</v>
      </c>
      <c r="T686">
        <v>12</v>
      </c>
      <c r="U686" t="str">
        <f t="shared" si="21"/>
        <v>Faye Bryson:0</v>
      </c>
    </row>
    <row r="687" spans="1:21" x14ac:dyDescent="0.2">
      <c r="A687" t="s">
        <v>372</v>
      </c>
      <c r="B687" t="s">
        <v>606</v>
      </c>
      <c r="C687" t="s">
        <v>607</v>
      </c>
      <c r="D687" t="s">
        <v>50</v>
      </c>
      <c r="E687" t="s">
        <v>48</v>
      </c>
      <c r="F687">
        <v>26</v>
      </c>
      <c r="G687">
        <v>1994</v>
      </c>
      <c r="H687">
        <v>13</v>
      </c>
      <c r="I687">
        <v>12</v>
      </c>
      <c r="J687">
        <v>1086</v>
      </c>
      <c r="K687">
        <v>0</v>
      </c>
      <c r="L687">
        <v>2</v>
      </c>
      <c r="M687">
        <v>0</v>
      </c>
      <c r="N687">
        <v>0</v>
      </c>
      <c r="O687">
        <v>0</v>
      </c>
      <c r="P687">
        <v>0</v>
      </c>
      <c r="Q687">
        <v>0</v>
      </c>
      <c r="R687">
        <f t="shared" si="20"/>
        <v>0</v>
      </c>
      <c r="S687" t="s">
        <v>424</v>
      </c>
      <c r="T687">
        <v>27</v>
      </c>
      <c r="U687" t="str">
        <f t="shared" si="21"/>
        <v>Felicity Gibbons:2</v>
      </c>
    </row>
    <row r="688" spans="1:21" x14ac:dyDescent="0.2">
      <c r="A688" t="s">
        <v>425</v>
      </c>
      <c r="B688" t="s">
        <v>606</v>
      </c>
      <c r="C688" t="s">
        <v>607</v>
      </c>
      <c r="D688" t="s">
        <v>50</v>
      </c>
      <c r="E688" t="s">
        <v>426</v>
      </c>
      <c r="F688">
        <v>20</v>
      </c>
      <c r="G688">
        <v>1999</v>
      </c>
      <c r="H688">
        <v>16</v>
      </c>
      <c r="I688">
        <v>14</v>
      </c>
      <c r="J688">
        <v>1086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f t="shared" si="20"/>
        <v>0</v>
      </c>
      <c r="S688" t="s">
        <v>424</v>
      </c>
      <c r="T688">
        <v>12</v>
      </c>
      <c r="U688" t="str">
        <f t="shared" si="21"/>
        <v>Flo Allen:0</v>
      </c>
    </row>
    <row r="689" spans="1:21" x14ac:dyDescent="0.2">
      <c r="A689" t="s">
        <v>182</v>
      </c>
      <c r="B689" t="s">
        <v>606</v>
      </c>
      <c r="C689" t="s">
        <v>607</v>
      </c>
      <c r="D689" t="s">
        <v>42</v>
      </c>
      <c r="E689" t="s">
        <v>20</v>
      </c>
      <c r="F689">
        <v>27</v>
      </c>
      <c r="G689">
        <v>1993</v>
      </c>
      <c r="H689">
        <v>18</v>
      </c>
      <c r="I689">
        <v>16</v>
      </c>
      <c r="J689">
        <v>1378</v>
      </c>
      <c r="K689">
        <v>16</v>
      </c>
      <c r="L689">
        <v>11</v>
      </c>
      <c r="M689">
        <v>16</v>
      </c>
      <c r="N689">
        <v>0</v>
      </c>
      <c r="O689">
        <v>0</v>
      </c>
      <c r="P689">
        <v>0</v>
      </c>
      <c r="Q689">
        <v>0</v>
      </c>
      <c r="R689">
        <f t="shared" si="20"/>
        <v>1.2901144976616675E-4</v>
      </c>
      <c r="S689" t="s">
        <v>424</v>
      </c>
      <c r="T689">
        <v>57</v>
      </c>
      <c r="U689" t="str">
        <f t="shared" si="21"/>
        <v>Fran Kirby:11</v>
      </c>
    </row>
    <row r="690" spans="1:21" x14ac:dyDescent="0.2">
      <c r="A690" t="s">
        <v>144</v>
      </c>
      <c r="B690" t="s">
        <v>606</v>
      </c>
      <c r="C690" t="s">
        <v>607</v>
      </c>
      <c r="D690" t="s">
        <v>94</v>
      </c>
      <c r="E690" t="s">
        <v>37</v>
      </c>
      <c r="F690">
        <v>17</v>
      </c>
      <c r="G690">
        <v>2003</v>
      </c>
      <c r="H690">
        <v>9</v>
      </c>
      <c r="I690">
        <v>4</v>
      </c>
      <c r="J690">
        <v>382</v>
      </c>
      <c r="K690">
        <v>1</v>
      </c>
      <c r="L690">
        <v>0</v>
      </c>
      <c r="M690">
        <v>1</v>
      </c>
      <c r="N690">
        <v>0</v>
      </c>
      <c r="O690">
        <v>0</v>
      </c>
      <c r="P690">
        <v>1</v>
      </c>
      <c r="Q690">
        <v>0</v>
      </c>
      <c r="R690">
        <f t="shared" si="20"/>
        <v>2.9086678301337989E-5</v>
      </c>
      <c r="S690" t="s">
        <v>424</v>
      </c>
      <c r="T690">
        <v>15</v>
      </c>
      <c r="U690" t="str">
        <f t="shared" si="21"/>
        <v>Freya Gregory:0</v>
      </c>
    </row>
    <row r="691" spans="1:21" x14ac:dyDescent="0.2">
      <c r="A691" t="s">
        <v>131</v>
      </c>
      <c r="B691" t="s">
        <v>606</v>
      </c>
      <c r="C691" t="s">
        <v>607</v>
      </c>
      <c r="D691" t="s">
        <v>50</v>
      </c>
      <c r="E691" t="s">
        <v>55</v>
      </c>
      <c r="F691">
        <v>23</v>
      </c>
      <c r="G691">
        <v>1997</v>
      </c>
      <c r="H691">
        <v>7</v>
      </c>
      <c r="I691">
        <v>4</v>
      </c>
      <c r="J691">
        <v>403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f t="shared" si="20"/>
        <v>0</v>
      </c>
      <c r="S691" t="s">
        <v>424</v>
      </c>
      <c r="T691">
        <v>32</v>
      </c>
      <c r="U691" t="str">
        <f t="shared" si="21"/>
        <v>Gabrielle George:0</v>
      </c>
    </row>
    <row r="692" spans="1:21" x14ac:dyDescent="0.2">
      <c r="A692" t="s">
        <v>66</v>
      </c>
      <c r="B692" t="s">
        <v>606</v>
      </c>
      <c r="C692" t="s">
        <v>607</v>
      </c>
      <c r="D692" t="s">
        <v>50</v>
      </c>
      <c r="E692" t="s">
        <v>32</v>
      </c>
      <c r="F692">
        <v>29</v>
      </c>
      <c r="G692">
        <v>1991</v>
      </c>
      <c r="H692">
        <v>6</v>
      </c>
      <c r="I692">
        <v>6</v>
      </c>
      <c r="J692">
        <v>494</v>
      </c>
      <c r="K692">
        <v>1</v>
      </c>
      <c r="L692">
        <v>0</v>
      </c>
      <c r="M692">
        <v>1</v>
      </c>
      <c r="N692">
        <v>0</v>
      </c>
      <c r="O692">
        <v>0</v>
      </c>
      <c r="P692">
        <v>0</v>
      </c>
      <c r="Q692">
        <v>0</v>
      </c>
      <c r="R692">
        <f t="shared" si="20"/>
        <v>2.249212775528565E-5</v>
      </c>
      <c r="S692" t="s">
        <v>424</v>
      </c>
      <c r="T692">
        <v>55</v>
      </c>
      <c r="U692" t="str">
        <f t="shared" si="21"/>
        <v>Gemma Bonner:0</v>
      </c>
    </row>
    <row r="693" spans="1:21" x14ac:dyDescent="0.2">
      <c r="A693" t="s">
        <v>361</v>
      </c>
      <c r="B693" t="s">
        <v>606</v>
      </c>
      <c r="C693" t="s">
        <v>607</v>
      </c>
      <c r="D693" t="s">
        <v>42</v>
      </c>
      <c r="E693" t="s">
        <v>30</v>
      </c>
      <c r="F693">
        <v>33</v>
      </c>
      <c r="G693">
        <v>1987</v>
      </c>
      <c r="H693">
        <v>16</v>
      </c>
      <c r="I693">
        <v>10</v>
      </c>
      <c r="J693">
        <v>861</v>
      </c>
      <c r="K693">
        <v>1</v>
      </c>
      <c r="L693">
        <v>1</v>
      </c>
      <c r="M693">
        <v>1</v>
      </c>
      <c r="N693">
        <v>0</v>
      </c>
      <c r="O693">
        <v>0</v>
      </c>
      <c r="P693">
        <v>0</v>
      </c>
      <c r="Q693">
        <v>0</v>
      </c>
      <c r="R693">
        <f t="shared" si="20"/>
        <v>1.2904890953671441E-5</v>
      </c>
      <c r="S693" t="s">
        <v>424</v>
      </c>
      <c r="T693">
        <v>20</v>
      </c>
      <c r="U693" t="str">
        <f t="shared" si="21"/>
        <v>Gemma Davison:1</v>
      </c>
    </row>
    <row r="694" spans="1:21" x14ac:dyDescent="0.2">
      <c r="A694" t="s">
        <v>113</v>
      </c>
      <c r="B694" t="s">
        <v>624</v>
      </c>
      <c r="C694" t="s">
        <v>625</v>
      </c>
      <c r="D694" t="s">
        <v>50</v>
      </c>
      <c r="E694" t="s">
        <v>426</v>
      </c>
      <c r="F694">
        <v>23</v>
      </c>
      <c r="G694">
        <v>1996</v>
      </c>
      <c r="H694">
        <v>20</v>
      </c>
      <c r="I694">
        <v>20</v>
      </c>
      <c r="J694">
        <v>1800</v>
      </c>
      <c r="K694">
        <v>1</v>
      </c>
      <c r="L694">
        <v>1</v>
      </c>
      <c r="M694">
        <v>1</v>
      </c>
      <c r="N694">
        <v>0</v>
      </c>
      <c r="O694">
        <v>0</v>
      </c>
      <c r="P694">
        <v>2</v>
      </c>
      <c r="Q694">
        <v>0</v>
      </c>
      <c r="R694">
        <f t="shared" si="20"/>
        <v>6.1728395061728391E-6</v>
      </c>
      <c r="S694" t="s">
        <v>424</v>
      </c>
      <c r="T694">
        <v>12</v>
      </c>
      <c r="U694" t="str">
        <f t="shared" si="21"/>
        <v>Gemma Evans:1</v>
      </c>
    </row>
    <row r="695" spans="1:21" x14ac:dyDescent="0.2">
      <c r="A695" t="s">
        <v>391</v>
      </c>
      <c r="B695" t="s">
        <v>606</v>
      </c>
      <c r="C695" t="s">
        <v>607</v>
      </c>
      <c r="D695" t="s">
        <v>50</v>
      </c>
      <c r="E695" t="s">
        <v>360</v>
      </c>
      <c r="F695">
        <v>19</v>
      </c>
      <c r="G695">
        <v>2001</v>
      </c>
      <c r="H695">
        <v>5</v>
      </c>
      <c r="I695">
        <v>2</v>
      </c>
      <c r="J695">
        <v>201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f t="shared" si="20"/>
        <v>0</v>
      </c>
      <c r="S695" t="s">
        <v>424</v>
      </c>
      <c r="T695">
        <v>14</v>
      </c>
      <c r="U695" t="str">
        <f t="shared" si="21"/>
        <v>Gemma Lawley:0</v>
      </c>
    </row>
    <row r="696" spans="1:21" x14ac:dyDescent="0.2">
      <c r="A696" t="s">
        <v>72</v>
      </c>
      <c r="B696" t="s">
        <v>606</v>
      </c>
      <c r="C696" t="s">
        <v>607</v>
      </c>
      <c r="D696" t="s">
        <v>50</v>
      </c>
      <c r="E696" t="s">
        <v>360</v>
      </c>
      <c r="F696">
        <v>24</v>
      </c>
      <c r="G696">
        <v>1996</v>
      </c>
      <c r="H696">
        <v>19</v>
      </c>
      <c r="I696">
        <v>19</v>
      </c>
      <c r="J696">
        <v>1710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f t="shared" si="20"/>
        <v>0</v>
      </c>
      <c r="S696" t="s">
        <v>424</v>
      </c>
      <c r="T696">
        <v>14</v>
      </c>
      <c r="U696" t="str">
        <f t="shared" si="21"/>
        <v>Georgia Brougham:0</v>
      </c>
    </row>
    <row r="697" spans="1:21" x14ac:dyDescent="0.2">
      <c r="A697" t="s">
        <v>412</v>
      </c>
      <c r="B697" t="s">
        <v>606</v>
      </c>
      <c r="C697" t="s">
        <v>607</v>
      </c>
      <c r="D697" t="s">
        <v>42</v>
      </c>
      <c r="E697" t="s">
        <v>32</v>
      </c>
      <c r="F697">
        <v>21</v>
      </c>
      <c r="G697">
        <v>1999</v>
      </c>
      <c r="H697">
        <v>21</v>
      </c>
      <c r="I697">
        <v>16</v>
      </c>
      <c r="J697">
        <v>1489</v>
      </c>
      <c r="K697">
        <v>5</v>
      </c>
      <c r="L697">
        <v>1</v>
      </c>
      <c r="M697">
        <v>5</v>
      </c>
      <c r="N697">
        <v>0</v>
      </c>
      <c r="O697">
        <v>0</v>
      </c>
      <c r="P697">
        <v>1</v>
      </c>
      <c r="Q697">
        <v>0</v>
      </c>
      <c r="R697">
        <f t="shared" si="20"/>
        <v>3.731064845907022E-5</v>
      </c>
      <c r="S697" t="s">
        <v>424</v>
      </c>
      <c r="T697">
        <v>55</v>
      </c>
      <c r="U697" t="str">
        <f t="shared" si="21"/>
        <v>Georgia Stanway:1</v>
      </c>
    </row>
    <row r="698" spans="1:21" x14ac:dyDescent="0.2">
      <c r="A698" t="s">
        <v>493</v>
      </c>
      <c r="B698" t="s">
        <v>606</v>
      </c>
      <c r="C698" t="s">
        <v>607</v>
      </c>
      <c r="D698" t="s">
        <v>34</v>
      </c>
      <c r="E698" t="s">
        <v>426</v>
      </c>
      <c r="F698">
        <v>18</v>
      </c>
      <c r="G698">
        <v>2002</v>
      </c>
      <c r="H698">
        <v>2</v>
      </c>
      <c r="I698">
        <v>0</v>
      </c>
      <c r="J698">
        <v>22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f t="shared" si="20"/>
        <v>0</v>
      </c>
      <c r="S698" t="s">
        <v>424</v>
      </c>
      <c r="T698">
        <v>12</v>
      </c>
      <c r="U698" t="str">
        <f t="shared" si="21"/>
        <v>Georgia Wilson:0</v>
      </c>
    </row>
    <row r="699" spans="1:21" x14ac:dyDescent="0.2">
      <c r="A699" t="s">
        <v>120</v>
      </c>
      <c r="B699" t="s">
        <v>606</v>
      </c>
      <c r="C699" t="s">
        <v>607</v>
      </c>
      <c r="D699" t="s">
        <v>50</v>
      </c>
      <c r="E699" t="s">
        <v>24</v>
      </c>
      <c r="F699">
        <v>28</v>
      </c>
      <c r="G699">
        <v>1991</v>
      </c>
      <c r="H699">
        <v>21</v>
      </c>
      <c r="I699">
        <v>21</v>
      </c>
      <c r="J699">
        <v>1833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5</v>
      </c>
      <c r="Q699">
        <v>1</v>
      </c>
      <c r="R699">
        <f t="shared" si="20"/>
        <v>0</v>
      </c>
      <c r="S699" t="s">
        <v>424</v>
      </c>
      <c r="T699">
        <v>15</v>
      </c>
      <c r="U699" t="str">
        <f t="shared" si="21"/>
        <v>Gilly Flaherty:0</v>
      </c>
    </row>
    <row r="700" spans="1:21" x14ac:dyDescent="0.2">
      <c r="A700" t="s">
        <v>358</v>
      </c>
      <c r="B700" t="s">
        <v>606</v>
      </c>
      <c r="C700" t="s">
        <v>607</v>
      </c>
      <c r="D700" t="s">
        <v>23</v>
      </c>
      <c r="E700" t="s">
        <v>55</v>
      </c>
      <c r="F700">
        <v>17</v>
      </c>
      <c r="G700">
        <v>2003</v>
      </c>
      <c r="H700">
        <v>6</v>
      </c>
      <c r="I700">
        <v>2</v>
      </c>
      <c r="J700">
        <v>194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f t="shared" si="20"/>
        <v>0</v>
      </c>
      <c r="S700" t="s">
        <v>424</v>
      </c>
      <c r="T700">
        <v>32</v>
      </c>
      <c r="U700" t="str">
        <f t="shared" si="21"/>
        <v>Grace Clinton:0</v>
      </c>
    </row>
    <row r="701" spans="1:21" x14ac:dyDescent="0.2">
      <c r="A701" t="s">
        <v>119</v>
      </c>
      <c r="B701" t="s">
        <v>606</v>
      </c>
      <c r="C701" t="s">
        <v>607</v>
      </c>
      <c r="D701" t="s">
        <v>50</v>
      </c>
      <c r="E701" t="s">
        <v>24</v>
      </c>
      <c r="F701">
        <v>22</v>
      </c>
      <c r="G701">
        <v>1998</v>
      </c>
      <c r="H701">
        <v>22</v>
      </c>
      <c r="I701">
        <v>22</v>
      </c>
      <c r="J701">
        <v>1980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1</v>
      </c>
      <c r="Q701">
        <v>0</v>
      </c>
      <c r="R701">
        <f t="shared" si="20"/>
        <v>0</v>
      </c>
      <c r="S701" t="s">
        <v>424</v>
      </c>
      <c r="T701">
        <v>15</v>
      </c>
      <c r="U701" t="str">
        <f t="shared" si="21"/>
        <v>Grace Fisk:0</v>
      </c>
    </row>
    <row r="702" spans="1:21" x14ac:dyDescent="0.2">
      <c r="A702" t="s">
        <v>220</v>
      </c>
      <c r="B702" t="s">
        <v>632</v>
      </c>
      <c r="C702" t="s">
        <v>633</v>
      </c>
      <c r="D702" t="s">
        <v>40</v>
      </c>
      <c r="E702" t="s">
        <v>35</v>
      </c>
      <c r="F702">
        <v>27</v>
      </c>
      <c r="G702">
        <v>1993</v>
      </c>
      <c r="H702">
        <v>22</v>
      </c>
      <c r="I702">
        <v>22</v>
      </c>
      <c r="J702">
        <v>1980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1</v>
      </c>
      <c r="Q702">
        <v>0</v>
      </c>
      <c r="R702">
        <f t="shared" si="20"/>
        <v>0</v>
      </c>
      <c r="S702" t="s">
        <v>424</v>
      </c>
      <c r="T702">
        <v>24</v>
      </c>
      <c r="U702" t="str">
        <f t="shared" si="21"/>
        <v>Grace Moloney:0</v>
      </c>
    </row>
    <row r="703" spans="1:21" x14ac:dyDescent="0.2">
      <c r="A703" t="s">
        <v>258</v>
      </c>
      <c r="B703" t="s">
        <v>618</v>
      </c>
      <c r="C703" t="s">
        <v>619</v>
      </c>
      <c r="D703" t="s">
        <v>42</v>
      </c>
      <c r="E703" t="s">
        <v>20</v>
      </c>
      <c r="F703">
        <v>26</v>
      </c>
      <c r="G703">
        <v>1994</v>
      </c>
      <c r="H703">
        <v>19</v>
      </c>
      <c r="I703">
        <v>9</v>
      </c>
      <c r="J703">
        <v>890</v>
      </c>
      <c r="K703">
        <v>1</v>
      </c>
      <c r="L703">
        <v>3</v>
      </c>
      <c r="M703">
        <v>1</v>
      </c>
      <c r="N703">
        <v>0</v>
      </c>
      <c r="O703">
        <v>0</v>
      </c>
      <c r="P703">
        <v>1</v>
      </c>
      <c r="Q703">
        <v>0</v>
      </c>
      <c r="R703">
        <f t="shared" si="20"/>
        <v>1.2484394506866419E-5</v>
      </c>
      <c r="S703" t="s">
        <v>424</v>
      </c>
      <c r="T703">
        <v>57</v>
      </c>
      <c r="U703" t="str">
        <f t="shared" si="21"/>
        <v>Guro Reiten:3</v>
      </c>
    </row>
    <row r="704" spans="1:21" x14ac:dyDescent="0.2">
      <c r="A704" t="s">
        <v>63</v>
      </c>
      <c r="B704" t="s">
        <v>606</v>
      </c>
      <c r="C704" t="s">
        <v>607</v>
      </c>
      <c r="D704" t="s">
        <v>50</v>
      </c>
      <c r="E704" t="s">
        <v>20</v>
      </c>
      <c r="F704">
        <v>26</v>
      </c>
      <c r="G704">
        <v>1994</v>
      </c>
      <c r="H704">
        <v>8</v>
      </c>
      <c r="I704">
        <v>4</v>
      </c>
      <c r="J704">
        <v>464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f t="shared" si="20"/>
        <v>0</v>
      </c>
      <c r="S704" t="s">
        <v>424</v>
      </c>
      <c r="T704">
        <v>57</v>
      </c>
      <c r="U704" t="str">
        <f t="shared" si="21"/>
        <v>Hannah Blundell:0</v>
      </c>
    </row>
    <row r="705" spans="1:21" x14ac:dyDescent="0.2">
      <c r="A705" t="s">
        <v>444</v>
      </c>
      <c r="B705" t="s">
        <v>652</v>
      </c>
      <c r="C705" t="s">
        <v>653</v>
      </c>
      <c r="D705" t="s">
        <v>50</v>
      </c>
      <c r="E705" t="s">
        <v>30</v>
      </c>
      <c r="F705">
        <v>23</v>
      </c>
      <c r="G705">
        <v>1997</v>
      </c>
      <c r="H705">
        <v>5</v>
      </c>
      <c r="I705">
        <v>5</v>
      </c>
      <c r="J705">
        <v>450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f t="shared" si="20"/>
        <v>0</v>
      </c>
      <c r="S705" t="s">
        <v>424</v>
      </c>
      <c r="T705">
        <v>20</v>
      </c>
      <c r="U705" t="str">
        <f t="shared" si="21"/>
        <v>Hannah Godfrey:0</v>
      </c>
    </row>
    <row r="706" spans="1:21" x14ac:dyDescent="0.2">
      <c r="A706" t="s">
        <v>146</v>
      </c>
      <c r="B706" t="s">
        <v>606</v>
      </c>
      <c r="C706" t="s">
        <v>607</v>
      </c>
      <c r="D706" t="s">
        <v>40</v>
      </c>
      <c r="E706" t="s">
        <v>360</v>
      </c>
      <c r="F706">
        <v>19</v>
      </c>
      <c r="G706">
        <v>2000</v>
      </c>
      <c r="H706">
        <v>21</v>
      </c>
      <c r="I706">
        <v>21</v>
      </c>
      <c r="J706">
        <v>1890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f t="shared" si="20"/>
        <v>0</v>
      </c>
      <c r="S706" t="s">
        <v>424</v>
      </c>
      <c r="T706">
        <v>14</v>
      </c>
      <c r="U706" t="str">
        <f t="shared" si="21"/>
        <v>Hannah Hampton:0</v>
      </c>
    </row>
    <row r="707" spans="1:21" x14ac:dyDescent="0.2">
      <c r="A707" t="s">
        <v>407</v>
      </c>
      <c r="B707" t="s">
        <v>632</v>
      </c>
      <c r="C707" t="s">
        <v>633</v>
      </c>
      <c r="D707" t="s">
        <v>50</v>
      </c>
      <c r="E707" t="s">
        <v>360</v>
      </c>
      <c r="F707">
        <v>27</v>
      </c>
      <c r="G707">
        <v>1993</v>
      </c>
      <c r="H707">
        <v>20</v>
      </c>
      <c r="I707">
        <v>20</v>
      </c>
      <c r="J707">
        <v>1757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5</v>
      </c>
      <c r="Q707">
        <v>0</v>
      </c>
      <c r="R707">
        <f t="shared" ref="R707:R770" si="22">K707/J707/90</f>
        <v>0</v>
      </c>
      <c r="S707" t="s">
        <v>424</v>
      </c>
      <c r="T707">
        <v>14</v>
      </c>
      <c r="U707" t="str">
        <f t="shared" ref="U707:U770" si="23">CONCATENATE(A707, ":", L707)</f>
        <v>Harriet Scott:0</v>
      </c>
    </row>
    <row r="708" spans="1:21" x14ac:dyDescent="0.2">
      <c r="A708" t="s">
        <v>90</v>
      </c>
      <c r="B708" t="s">
        <v>610</v>
      </c>
      <c r="C708" t="s">
        <v>611</v>
      </c>
      <c r="D708" t="s">
        <v>50</v>
      </c>
      <c r="E708" t="s">
        <v>24</v>
      </c>
      <c r="F708">
        <v>23</v>
      </c>
      <c r="G708">
        <v>1997</v>
      </c>
      <c r="H708">
        <v>12</v>
      </c>
      <c r="I708">
        <v>6</v>
      </c>
      <c r="J708">
        <v>579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2</v>
      </c>
      <c r="Q708">
        <v>0</v>
      </c>
      <c r="R708">
        <f t="shared" si="22"/>
        <v>0</v>
      </c>
      <c r="S708" t="s">
        <v>424</v>
      </c>
      <c r="T708">
        <v>15</v>
      </c>
      <c r="U708" t="str">
        <f t="shared" si="23"/>
        <v>Hawa Cissoko:0</v>
      </c>
    </row>
    <row r="709" spans="1:21" x14ac:dyDescent="0.2">
      <c r="A709" t="s">
        <v>188</v>
      </c>
      <c r="B709" t="s">
        <v>624</v>
      </c>
      <c r="C709" t="s">
        <v>625</v>
      </c>
      <c r="D709" t="s">
        <v>34</v>
      </c>
      <c r="E709" t="s">
        <v>52</v>
      </c>
      <c r="F709">
        <v>26</v>
      </c>
      <c r="G709">
        <v>1993</v>
      </c>
      <c r="H709">
        <v>18</v>
      </c>
      <c r="I709">
        <v>12</v>
      </c>
      <c r="J709">
        <v>1110</v>
      </c>
      <c r="K709">
        <v>1</v>
      </c>
      <c r="L709">
        <v>5</v>
      </c>
      <c r="M709">
        <v>1</v>
      </c>
      <c r="N709">
        <v>0</v>
      </c>
      <c r="O709">
        <v>0</v>
      </c>
      <c r="P709">
        <v>4</v>
      </c>
      <c r="Q709">
        <v>0</v>
      </c>
      <c r="R709">
        <f t="shared" si="22"/>
        <v>1.001001001001001E-5</v>
      </c>
      <c r="S709" t="s">
        <v>424</v>
      </c>
      <c r="T709">
        <v>47</v>
      </c>
      <c r="U709" t="str">
        <f t="shared" si="23"/>
        <v>Hayley Ladd:5</v>
      </c>
    </row>
    <row r="710" spans="1:21" x14ac:dyDescent="0.2">
      <c r="A710" t="s">
        <v>256</v>
      </c>
      <c r="B710" t="s">
        <v>612</v>
      </c>
      <c r="C710" t="s">
        <v>613</v>
      </c>
      <c r="D710" t="s">
        <v>248</v>
      </c>
      <c r="E710" t="s">
        <v>55</v>
      </c>
      <c r="F710">
        <v>25</v>
      </c>
      <c r="G710">
        <v>1994</v>
      </c>
      <c r="H710">
        <v>22</v>
      </c>
      <c r="I710">
        <v>16</v>
      </c>
      <c r="J710">
        <v>1434</v>
      </c>
      <c r="K710">
        <v>5</v>
      </c>
      <c r="L710">
        <v>2</v>
      </c>
      <c r="M710">
        <v>5</v>
      </c>
      <c r="N710">
        <v>0</v>
      </c>
      <c r="O710">
        <v>0</v>
      </c>
      <c r="P710">
        <v>2</v>
      </c>
      <c r="Q710">
        <v>0</v>
      </c>
      <c r="R710">
        <f t="shared" si="22"/>
        <v>3.8741670540833722E-5</v>
      </c>
      <c r="S710" t="s">
        <v>424</v>
      </c>
      <c r="T710">
        <v>32</v>
      </c>
      <c r="U710" t="str">
        <f t="shared" si="23"/>
        <v>Hayley Raso:2</v>
      </c>
    </row>
    <row r="711" spans="1:21" x14ac:dyDescent="0.2">
      <c r="A711" t="s">
        <v>388</v>
      </c>
      <c r="B711" t="s">
        <v>626</v>
      </c>
      <c r="C711" t="s">
        <v>627</v>
      </c>
      <c r="D711" t="s">
        <v>23</v>
      </c>
      <c r="E711" t="s">
        <v>48</v>
      </c>
      <c r="F711">
        <v>24</v>
      </c>
      <c r="G711">
        <v>1996</v>
      </c>
      <c r="H711">
        <v>22</v>
      </c>
      <c r="I711">
        <v>22</v>
      </c>
      <c r="J711">
        <v>1896</v>
      </c>
      <c r="K711">
        <v>8</v>
      </c>
      <c r="L711">
        <v>1</v>
      </c>
      <c r="M711">
        <v>4</v>
      </c>
      <c r="N711">
        <v>4</v>
      </c>
      <c r="O711">
        <v>4</v>
      </c>
      <c r="P711">
        <v>0</v>
      </c>
      <c r="Q711">
        <v>0</v>
      </c>
      <c r="R711">
        <f t="shared" si="22"/>
        <v>4.688232536333802E-5</v>
      </c>
      <c r="S711" t="s">
        <v>424</v>
      </c>
      <c r="T711">
        <v>27</v>
      </c>
      <c r="U711" t="str">
        <f t="shared" si="23"/>
        <v>Inessa Kaagman:1</v>
      </c>
    </row>
    <row r="712" spans="1:21" x14ac:dyDescent="0.2">
      <c r="A712" t="s">
        <v>467</v>
      </c>
      <c r="B712" t="s">
        <v>618</v>
      </c>
      <c r="C712" t="s">
        <v>619</v>
      </c>
      <c r="D712" t="s">
        <v>50</v>
      </c>
      <c r="E712" t="s">
        <v>55</v>
      </c>
      <c r="F712">
        <v>30</v>
      </c>
      <c r="G712">
        <v>1990</v>
      </c>
      <c r="H712">
        <v>21</v>
      </c>
      <c r="I712">
        <v>20</v>
      </c>
      <c r="J712">
        <v>1719</v>
      </c>
      <c r="K712">
        <v>0</v>
      </c>
      <c r="L712">
        <v>1</v>
      </c>
      <c r="M712">
        <v>0</v>
      </c>
      <c r="N712">
        <v>0</v>
      </c>
      <c r="O712">
        <v>0</v>
      </c>
      <c r="P712">
        <v>1</v>
      </c>
      <c r="Q712">
        <v>0</v>
      </c>
      <c r="R712">
        <f t="shared" si="22"/>
        <v>0</v>
      </c>
      <c r="S712" t="s">
        <v>424</v>
      </c>
      <c r="T712">
        <v>32</v>
      </c>
      <c r="U712" t="str">
        <f t="shared" si="23"/>
        <v>Ingrid Moe Wold:1</v>
      </c>
    </row>
    <row r="713" spans="1:21" x14ac:dyDescent="0.2">
      <c r="A713" t="s">
        <v>368</v>
      </c>
      <c r="B713" t="s">
        <v>662</v>
      </c>
      <c r="C713" t="s">
        <v>663</v>
      </c>
      <c r="D713" t="s">
        <v>42</v>
      </c>
      <c r="E713" t="s">
        <v>52</v>
      </c>
      <c r="F713">
        <v>19</v>
      </c>
      <c r="G713">
        <v>2001</v>
      </c>
      <c r="H713">
        <v>5</v>
      </c>
      <c r="I713">
        <v>0</v>
      </c>
      <c r="J713">
        <v>100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f t="shared" si="22"/>
        <v>0</v>
      </c>
      <c r="S713" t="s">
        <v>424</v>
      </c>
      <c r="T713">
        <v>47</v>
      </c>
      <c r="U713" t="str">
        <f t="shared" si="23"/>
        <v>Ivana Fuso:0</v>
      </c>
    </row>
    <row r="714" spans="1:21" x14ac:dyDescent="0.2">
      <c r="A714" t="s">
        <v>89</v>
      </c>
      <c r="B714" t="s">
        <v>606</v>
      </c>
      <c r="C714" t="s">
        <v>607</v>
      </c>
      <c r="D714" t="s">
        <v>34</v>
      </c>
      <c r="E714" t="s">
        <v>55</v>
      </c>
      <c r="F714">
        <v>28</v>
      </c>
      <c r="G714">
        <v>1991</v>
      </c>
      <c r="H714">
        <v>22</v>
      </c>
      <c r="I714">
        <v>22</v>
      </c>
      <c r="J714">
        <v>1917</v>
      </c>
      <c r="K714">
        <v>6</v>
      </c>
      <c r="L714">
        <v>6</v>
      </c>
      <c r="M714">
        <v>4</v>
      </c>
      <c r="N714">
        <v>2</v>
      </c>
      <c r="O714">
        <v>2</v>
      </c>
      <c r="P714">
        <v>2</v>
      </c>
      <c r="Q714">
        <v>0</v>
      </c>
      <c r="R714">
        <f t="shared" si="22"/>
        <v>3.4776560598156845E-5</v>
      </c>
      <c r="S714" t="s">
        <v>424</v>
      </c>
      <c r="T714">
        <v>32</v>
      </c>
      <c r="U714" t="str">
        <f t="shared" si="23"/>
        <v>Izzy Christiansen:6</v>
      </c>
    </row>
    <row r="715" spans="1:21" x14ac:dyDescent="0.2">
      <c r="A715" t="s">
        <v>375</v>
      </c>
      <c r="B715" t="s">
        <v>626</v>
      </c>
      <c r="C715" t="s">
        <v>627</v>
      </c>
      <c r="D715" t="s">
        <v>34</v>
      </c>
      <c r="E715" t="s">
        <v>52</v>
      </c>
      <c r="F715">
        <v>25</v>
      </c>
      <c r="G715">
        <v>1994</v>
      </c>
      <c r="H715">
        <v>22</v>
      </c>
      <c r="I715">
        <v>18</v>
      </c>
      <c r="J715">
        <v>1627</v>
      </c>
      <c r="K715">
        <v>0</v>
      </c>
      <c r="L715">
        <v>3</v>
      </c>
      <c r="M715">
        <v>0</v>
      </c>
      <c r="N715">
        <v>0</v>
      </c>
      <c r="O715">
        <v>0</v>
      </c>
      <c r="P715">
        <v>2</v>
      </c>
      <c r="Q715">
        <v>0</v>
      </c>
      <c r="R715">
        <f t="shared" si="22"/>
        <v>0</v>
      </c>
      <c r="S715" t="s">
        <v>424</v>
      </c>
      <c r="T715">
        <v>47</v>
      </c>
      <c r="U715" t="str">
        <f t="shared" si="23"/>
        <v>Jackie Groenen:3</v>
      </c>
    </row>
    <row r="716" spans="1:21" x14ac:dyDescent="0.2">
      <c r="A716" t="s">
        <v>471</v>
      </c>
      <c r="B716" t="s">
        <v>652</v>
      </c>
      <c r="C716" t="s">
        <v>653</v>
      </c>
      <c r="D716" t="s">
        <v>34</v>
      </c>
      <c r="E716" t="s">
        <v>360</v>
      </c>
      <c r="F716">
        <v>20</v>
      </c>
      <c r="G716">
        <v>2000</v>
      </c>
      <c r="H716">
        <v>19</v>
      </c>
      <c r="I716">
        <v>17</v>
      </c>
      <c r="J716">
        <v>1442</v>
      </c>
      <c r="K716">
        <v>1</v>
      </c>
      <c r="L716">
        <v>0</v>
      </c>
      <c r="M716">
        <v>1</v>
      </c>
      <c r="N716">
        <v>0</v>
      </c>
      <c r="O716">
        <v>0</v>
      </c>
      <c r="P716">
        <v>1</v>
      </c>
      <c r="Q716">
        <v>0</v>
      </c>
      <c r="R716">
        <f t="shared" si="22"/>
        <v>7.7053475111727547E-6</v>
      </c>
      <c r="S716" t="s">
        <v>424</v>
      </c>
      <c r="T716">
        <v>14</v>
      </c>
      <c r="U716" t="str">
        <f t="shared" si="23"/>
        <v>Jamie-Lee Napier:0</v>
      </c>
    </row>
    <row r="717" spans="1:21" x14ac:dyDescent="0.2">
      <c r="A717" t="s">
        <v>480</v>
      </c>
      <c r="B717" t="s">
        <v>652</v>
      </c>
      <c r="C717" t="s">
        <v>653</v>
      </c>
      <c r="D717" t="s">
        <v>42</v>
      </c>
      <c r="E717" t="s">
        <v>52</v>
      </c>
      <c r="F717">
        <v>30</v>
      </c>
      <c r="G717">
        <v>1989</v>
      </c>
      <c r="H717">
        <v>12</v>
      </c>
      <c r="I717">
        <v>3</v>
      </c>
      <c r="J717">
        <v>350</v>
      </c>
      <c r="K717">
        <v>2</v>
      </c>
      <c r="L717">
        <v>0</v>
      </c>
      <c r="M717">
        <v>2</v>
      </c>
      <c r="N717">
        <v>0</v>
      </c>
      <c r="O717">
        <v>0</v>
      </c>
      <c r="P717">
        <v>0</v>
      </c>
      <c r="Q717">
        <v>0</v>
      </c>
      <c r="R717">
        <f t="shared" si="22"/>
        <v>6.3492063492063489E-5</v>
      </c>
      <c r="S717" t="s">
        <v>424</v>
      </c>
      <c r="T717">
        <v>47</v>
      </c>
      <c r="U717" t="str">
        <f t="shared" si="23"/>
        <v>Jane Ross:0</v>
      </c>
    </row>
    <row r="718" spans="1:21" x14ac:dyDescent="0.2">
      <c r="A718" t="s">
        <v>348</v>
      </c>
      <c r="B718" t="s">
        <v>608</v>
      </c>
      <c r="C718" t="s">
        <v>609</v>
      </c>
      <c r="D718" t="s">
        <v>248</v>
      </c>
      <c r="E718" t="s">
        <v>32</v>
      </c>
      <c r="F718">
        <v>25</v>
      </c>
      <c r="G718">
        <v>1994</v>
      </c>
      <c r="H718">
        <v>14</v>
      </c>
      <c r="I718">
        <v>6</v>
      </c>
      <c r="J718">
        <v>629</v>
      </c>
      <c r="K718">
        <v>4</v>
      </c>
      <c r="L718">
        <v>1</v>
      </c>
      <c r="M718">
        <v>4</v>
      </c>
      <c r="N718">
        <v>0</v>
      </c>
      <c r="O718">
        <v>0</v>
      </c>
      <c r="P718">
        <v>0</v>
      </c>
      <c r="Q718">
        <v>0</v>
      </c>
      <c r="R718">
        <f t="shared" si="22"/>
        <v>7.065889418830596E-5</v>
      </c>
      <c r="S718" t="s">
        <v>424</v>
      </c>
      <c r="T718">
        <v>55</v>
      </c>
      <c r="U718" t="str">
        <f t="shared" si="23"/>
        <v>Janine Beckie:1</v>
      </c>
    </row>
    <row r="719" spans="1:21" x14ac:dyDescent="0.2">
      <c r="A719" t="s">
        <v>210</v>
      </c>
      <c r="B719" t="s">
        <v>606</v>
      </c>
      <c r="C719" t="s">
        <v>607</v>
      </c>
      <c r="D719" t="s">
        <v>29</v>
      </c>
      <c r="E719" t="s">
        <v>426</v>
      </c>
      <c r="F719">
        <v>27</v>
      </c>
      <c r="G719">
        <v>1993</v>
      </c>
      <c r="H719">
        <v>10</v>
      </c>
      <c r="I719">
        <v>9</v>
      </c>
      <c r="J719">
        <v>800</v>
      </c>
      <c r="K719">
        <v>0</v>
      </c>
      <c r="L719">
        <v>1</v>
      </c>
      <c r="M719">
        <v>0</v>
      </c>
      <c r="N719">
        <v>0</v>
      </c>
      <c r="O719">
        <v>0</v>
      </c>
      <c r="P719">
        <v>1</v>
      </c>
      <c r="Q719">
        <v>0</v>
      </c>
      <c r="R719">
        <f t="shared" si="22"/>
        <v>0</v>
      </c>
      <c r="S719" t="s">
        <v>424</v>
      </c>
      <c r="T719">
        <v>12</v>
      </c>
      <c r="U719" t="str">
        <f t="shared" si="23"/>
        <v>Jasmine Matthews:1</v>
      </c>
    </row>
    <row r="720" spans="1:21" x14ac:dyDescent="0.2">
      <c r="A720" t="s">
        <v>252</v>
      </c>
      <c r="B720" t="s">
        <v>606</v>
      </c>
      <c r="C720" t="s">
        <v>607</v>
      </c>
      <c r="D720" t="s">
        <v>50</v>
      </c>
      <c r="E720" t="s">
        <v>426</v>
      </c>
      <c r="F720">
        <v>23</v>
      </c>
      <c r="G720">
        <v>1997</v>
      </c>
      <c r="H720">
        <v>21</v>
      </c>
      <c r="I720">
        <v>21</v>
      </c>
      <c r="J720">
        <v>1890</v>
      </c>
      <c r="K720">
        <v>1</v>
      </c>
      <c r="L720">
        <v>1</v>
      </c>
      <c r="M720">
        <v>1</v>
      </c>
      <c r="N720">
        <v>0</v>
      </c>
      <c r="O720">
        <v>0</v>
      </c>
      <c r="P720">
        <v>2</v>
      </c>
      <c r="Q720">
        <v>0</v>
      </c>
      <c r="R720">
        <f t="shared" si="22"/>
        <v>5.878894767783657E-6</v>
      </c>
      <c r="S720" t="s">
        <v>424</v>
      </c>
      <c r="T720">
        <v>12</v>
      </c>
      <c r="U720" t="str">
        <f t="shared" si="23"/>
        <v>Jemma Purfield:1</v>
      </c>
    </row>
    <row r="721" spans="1:21" x14ac:dyDescent="0.2">
      <c r="A721" t="s">
        <v>53</v>
      </c>
      <c r="B721" t="s">
        <v>652</v>
      </c>
      <c r="C721" t="s">
        <v>653</v>
      </c>
      <c r="D721" t="s">
        <v>50</v>
      </c>
      <c r="E721" t="s">
        <v>27</v>
      </c>
      <c r="F721">
        <v>29</v>
      </c>
      <c r="G721">
        <v>1991</v>
      </c>
      <c r="H721">
        <v>8</v>
      </c>
      <c r="I721">
        <v>7</v>
      </c>
      <c r="J721">
        <v>589</v>
      </c>
      <c r="K721">
        <v>2</v>
      </c>
      <c r="L721">
        <v>0</v>
      </c>
      <c r="M721">
        <v>2</v>
      </c>
      <c r="N721">
        <v>0</v>
      </c>
      <c r="O721">
        <v>0</v>
      </c>
      <c r="P721">
        <v>1</v>
      </c>
      <c r="Q721">
        <v>0</v>
      </c>
      <c r="R721">
        <f t="shared" si="22"/>
        <v>3.772873042822109E-5</v>
      </c>
      <c r="S721" t="s">
        <v>424</v>
      </c>
      <c r="T721">
        <v>48</v>
      </c>
      <c r="U721" t="str">
        <f t="shared" si="23"/>
        <v>Jennifer Beattie:0</v>
      </c>
    </row>
    <row r="722" spans="1:21" x14ac:dyDescent="0.2">
      <c r="A722" t="s">
        <v>369</v>
      </c>
      <c r="B722" t="s">
        <v>640</v>
      </c>
      <c r="C722" t="s">
        <v>641</v>
      </c>
      <c r="D722" t="s">
        <v>23</v>
      </c>
      <c r="E722" t="s">
        <v>35</v>
      </c>
      <c r="F722">
        <v>31</v>
      </c>
      <c r="G722">
        <v>1988</v>
      </c>
      <c r="H722">
        <v>4</v>
      </c>
      <c r="I722">
        <v>1</v>
      </c>
      <c r="J722">
        <v>87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f t="shared" si="22"/>
        <v>0</v>
      </c>
      <c r="S722" t="s">
        <v>424</v>
      </c>
      <c r="T722">
        <v>24</v>
      </c>
      <c r="U722" t="str">
        <f t="shared" si="23"/>
        <v>Jeon Ga-eul:0</v>
      </c>
    </row>
    <row r="723" spans="1:21" x14ac:dyDescent="0.2">
      <c r="A723" t="s">
        <v>83</v>
      </c>
      <c r="B723" t="s">
        <v>606</v>
      </c>
      <c r="C723" t="s">
        <v>607</v>
      </c>
      <c r="D723" t="s">
        <v>50</v>
      </c>
      <c r="E723" t="s">
        <v>20</v>
      </c>
      <c r="F723">
        <v>22</v>
      </c>
      <c r="G723">
        <v>1997</v>
      </c>
      <c r="H723">
        <v>9</v>
      </c>
      <c r="I723">
        <v>3</v>
      </c>
      <c r="J723">
        <v>324</v>
      </c>
      <c r="K723">
        <v>0</v>
      </c>
      <c r="L723">
        <v>1</v>
      </c>
      <c r="M723">
        <v>0</v>
      </c>
      <c r="N723">
        <v>0</v>
      </c>
      <c r="O723">
        <v>0</v>
      </c>
      <c r="P723">
        <v>0</v>
      </c>
      <c r="Q723">
        <v>0</v>
      </c>
      <c r="R723">
        <f t="shared" si="22"/>
        <v>0</v>
      </c>
      <c r="S723" t="s">
        <v>424</v>
      </c>
      <c r="T723">
        <v>57</v>
      </c>
      <c r="U723" t="str">
        <f t="shared" si="23"/>
        <v>Jess Carter:1</v>
      </c>
    </row>
    <row r="724" spans="1:21" x14ac:dyDescent="0.2">
      <c r="A724" t="s">
        <v>440</v>
      </c>
      <c r="B724" t="s">
        <v>624</v>
      </c>
      <c r="C724" t="s">
        <v>625</v>
      </c>
      <c r="D724" t="s">
        <v>34</v>
      </c>
      <c r="E724" t="s">
        <v>35</v>
      </c>
      <c r="F724">
        <v>33</v>
      </c>
      <c r="G724">
        <v>1987</v>
      </c>
      <c r="H724">
        <v>19</v>
      </c>
      <c r="I724">
        <v>18</v>
      </c>
      <c r="J724">
        <v>1601</v>
      </c>
      <c r="K724">
        <v>2</v>
      </c>
      <c r="L724">
        <v>3</v>
      </c>
      <c r="M724">
        <v>2</v>
      </c>
      <c r="N724">
        <v>0</v>
      </c>
      <c r="O724">
        <v>0</v>
      </c>
      <c r="P724">
        <v>2</v>
      </c>
      <c r="Q724">
        <v>0</v>
      </c>
      <c r="R724">
        <f t="shared" si="22"/>
        <v>1.3880213755291831E-5</v>
      </c>
      <c r="S724" t="s">
        <v>424</v>
      </c>
      <c r="T724">
        <v>24</v>
      </c>
      <c r="U724" t="str">
        <f t="shared" si="23"/>
        <v>Jess Fishlock:3</v>
      </c>
    </row>
    <row r="725" spans="1:21" x14ac:dyDescent="0.2">
      <c r="A725" t="s">
        <v>230</v>
      </c>
      <c r="B725" t="s">
        <v>606</v>
      </c>
      <c r="C725" t="s">
        <v>607</v>
      </c>
      <c r="D725" t="s">
        <v>26</v>
      </c>
      <c r="E725" t="s">
        <v>30</v>
      </c>
      <c r="F725">
        <v>19</v>
      </c>
      <c r="G725">
        <v>2000</v>
      </c>
      <c r="H725">
        <v>10</v>
      </c>
      <c r="I725">
        <v>4</v>
      </c>
      <c r="J725">
        <v>418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f t="shared" si="22"/>
        <v>0</v>
      </c>
      <c r="S725" t="s">
        <v>424</v>
      </c>
      <c r="T725">
        <v>20</v>
      </c>
      <c r="U725" t="str">
        <f t="shared" si="23"/>
        <v>Jessica Ngunga:0</v>
      </c>
    </row>
    <row r="726" spans="1:21" x14ac:dyDescent="0.2">
      <c r="A726" t="s">
        <v>236</v>
      </c>
      <c r="B726" t="s">
        <v>606</v>
      </c>
      <c r="C726" t="s">
        <v>607</v>
      </c>
      <c r="D726" t="s">
        <v>26</v>
      </c>
      <c r="E726" t="s">
        <v>32</v>
      </c>
      <c r="F726">
        <v>18</v>
      </c>
      <c r="G726">
        <v>2001</v>
      </c>
      <c r="H726">
        <v>9</v>
      </c>
      <c r="I726">
        <v>1</v>
      </c>
      <c r="J726">
        <v>182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f t="shared" si="22"/>
        <v>0</v>
      </c>
      <c r="S726" t="s">
        <v>424</v>
      </c>
      <c r="T726">
        <v>55</v>
      </c>
      <c r="U726" t="str">
        <f t="shared" si="23"/>
        <v>Jessica Park:0</v>
      </c>
    </row>
    <row r="727" spans="1:21" x14ac:dyDescent="0.2">
      <c r="A727" t="s">
        <v>276</v>
      </c>
      <c r="B727" t="s">
        <v>606</v>
      </c>
      <c r="C727" t="s">
        <v>607</v>
      </c>
      <c r="D727" t="s">
        <v>42</v>
      </c>
      <c r="E727" t="s">
        <v>52</v>
      </c>
      <c r="F727">
        <v>25</v>
      </c>
      <c r="G727">
        <v>1994</v>
      </c>
      <c r="H727">
        <v>14</v>
      </c>
      <c r="I727">
        <v>6</v>
      </c>
      <c r="J727">
        <v>580</v>
      </c>
      <c r="K727">
        <v>3</v>
      </c>
      <c r="L727">
        <v>1</v>
      </c>
      <c r="M727">
        <v>3</v>
      </c>
      <c r="N727">
        <v>0</v>
      </c>
      <c r="O727">
        <v>0</v>
      </c>
      <c r="P727">
        <v>3</v>
      </c>
      <c r="Q727">
        <v>0</v>
      </c>
      <c r="R727">
        <f t="shared" si="22"/>
        <v>5.747126436781609E-5</v>
      </c>
      <c r="S727" t="s">
        <v>424</v>
      </c>
      <c r="T727">
        <v>47</v>
      </c>
      <c r="U727" t="str">
        <f t="shared" si="23"/>
        <v>Jessica Sigsworth:1</v>
      </c>
    </row>
    <row r="728" spans="1:21" x14ac:dyDescent="0.2">
      <c r="A728" t="s">
        <v>495</v>
      </c>
      <c r="B728" t="s">
        <v>606</v>
      </c>
      <c r="C728" t="s">
        <v>607</v>
      </c>
      <c r="D728" t="s">
        <v>26</v>
      </c>
      <c r="E728" t="s">
        <v>426</v>
      </c>
      <c r="F728">
        <v>19</v>
      </c>
      <c r="G728">
        <v>2001</v>
      </c>
      <c r="H728">
        <v>1</v>
      </c>
      <c r="I728">
        <v>0</v>
      </c>
      <c r="J728">
        <v>1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f t="shared" si="22"/>
        <v>0</v>
      </c>
      <c r="S728" t="s">
        <v>424</v>
      </c>
      <c r="T728">
        <v>12</v>
      </c>
      <c r="U728" t="str">
        <f t="shared" si="23"/>
        <v>Jessica Wooley:0</v>
      </c>
    </row>
    <row r="729" spans="1:21" x14ac:dyDescent="0.2">
      <c r="A729" t="s">
        <v>122</v>
      </c>
      <c r="B729" t="s">
        <v>608</v>
      </c>
      <c r="C729" t="s">
        <v>609</v>
      </c>
      <c r="D729" t="s">
        <v>23</v>
      </c>
      <c r="E729" t="s">
        <v>20</v>
      </c>
      <c r="F729">
        <v>22</v>
      </c>
      <c r="G729">
        <v>1998</v>
      </c>
      <c r="H729">
        <v>14</v>
      </c>
      <c r="I729">
        <v>3</v>
      </c>
      <c r="J729">
        <v>443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f t="shared" si="22"/>
        <v>0</v>
      </c>
      <c r="S729" t="s">
        <v>424</v>
      </c>
      <c r="T729">
        <v>57</v>
      </c>
      <c r="U729" t="str">
        <f t="shared" si="23"/>
        <v>Jessie Fleming:0</v>
      </c>
    </row>
    <row r="730" spans="1:21" x14ac:dyDescent="0.2">
      <c r="A730" t="s">
        <v>411</v>
      </c>
      <c r="B730" t="s">
        <v>640</v>
      </c>
      <c r="C730" t="s">
        <v>641</v>
      </c>
      <c r="D730" t="s">
        <v>34</v>
      </c>
      <c r="E730" t="s">
        <v>20</v>
      </c>
      <c r="F730">
        <v>29</v>
      </c>
      <c r="G730">
        <v>1991</v>
      </c>
      <c r="H730">
        <v>19</v>
      </c>
      <c r="I730">
        <v>16</v>
      </c>
      <c r="J730">
        <v>1307</v>
      </c>
      <c r="K730">
        <v>2</v>
      </c>
      <c r="L730">
        <v>1</v>
      </c>
      <c r="M730">
        <v>2</v>
      </c>
      <c r="N730">
        <v>0</v>
      </c>
      <c r="O730">
        <v>0</v>
      </c>
      <c r="P730">
        <v>2</v>
      </c>
      <c r="Q730">
        <v>0</v>
      </c>
      <c r="R730">
        <f t="shared" si="22"/>
        <v>1.7002465357476835E-5</v>
      </c>
      <c r="S730" t="s">
        <v>424</v>
      </c>
      <c r="T730">
        <v>57</v>
      </c>
      <c r="U730" t="str">
        <f t="shared" si="23"/>
        <v>Ji So-yun:1</v>
      </c>
    </row>
    <row r="731" spans="1:21" x14ac:dyDescent="0.2">
      <c r="A731" t="s">
        <v>478</v>
      </c>
      <c r="B731" t="s">
        <v>626</v>
      </c>
      <c r="C731" t="s">
        <v>627</v>
      </c>
      <c r="D731" t="s">
        <v>23</v>
      </c>
      <c r="E731" t="s">
        <v>27</v>
      </c>
      <c r="F731">
        <v>23</v>
      </c>
      <c r="G731">
        <v>1997</v>
      </c>
      <c r="H731">
        <v>19</v>
      </c>
      <c r="I731">
        <v>15</v>
      </c>
      <c r="J731">
        <v>1312</v>
      </c>
      <c r="K731">
        <v>7</v>
      </c>
      <c r="L731">
        <v>3</v>
      </c>
      <c r="M731">
        <v>7</v>
      </c>
      <c r="N731">
        <v>0</v>
      </c>
      <c r="O731">
        <v>0</v>
      </c>
      <c r="P731">
        <v>1</v>
      </c>
      <c r="Q731">
        <v>0</v>
      </c>
      <c r="R731">
        <f t="shared" si="22"/>
        <v>5.9281842818428191E-5</v>
      </c>
      <c r="S731" t="s">
        <v>424</v>
      </c>
      <c r="T731">
        <v>48</v>
      </c>
      <c r="U731" t="str">
        <f t="shared" si="23"/>
        <v>Jill Roord:3</v>
      </c>
    </row>
    <row r="732" spans="1:21" x14ac:dyDescent="0.2">
      <c r="A732" t="s">
        <v>408</v>
      </c>
      <c r="B732" t="s">
        <v>606</v>
      </c>
      <c r="C732" t="s">
        <v>607</v>
      </c>
      <c r="D732" t="s">
        <v>34</v>
      </c>
      <c r="E732" t="s">
        <v>32</v>
      </c>
      <c r="F732">
        <v>33</v>
      </c>
      <c r="G732">
        <v>1987</v>
      </c>
      <c r="H732">
        <v>7</v>
      </c>
      <c r="I732">
        <v>2</v>
      </c>
      <c r="J732">
        <v>266</v>
      </c>
      <c r="K732">
        <v>1</v>
      </c>
      <c r="L732">
        <v>1</v>
      </c>
      <c r="M732">
        <v>1</v>
      </c>
      <c r="N732">
        <v>0</v>
      </c>
      <c r="O732">
        <v>0</v>
      </c>
      <c r="P732">
        <v>0</v>
      </c>
      <c r="Q732">
        <v>0</v>
      </c>
      <c r="R732">
        <f t="shared" si="22"/>
        <v>4.1771094402673345E-5</v>
      </c>
      <c r="S732" t="s">
        <v>424</v>
      </c>
      <c r="T732">
        <v>55</v>
      </c>
      <c r="U732" t="str">
        <f t="shared" si="23"/>
        <v>Jill Scott:1</v>
      </c>
    </row>
    <row r="733" spans="1:21" x14ac:dyDescent="0.2">
      <c r="A733" t="s">
        <v>408</v>
      </c>
      <c r="B733" t="s">
        <v>606</v>
      </c>
      <c r="C733" t="s">
        <v>607</v>
      </c>
      <c r="D733" t="s">
        <v>34</v>
      </c>
      <c r="E733" t="s">
        <v>55</v>
      </c>
      <c r="F733">
        <v>33</v>
      </c>
      <c r="G733">
        <v>1987</v>
      </c>
      <c r="H733">
        <v>11</v>
      </c>
      <c r="I733">
        <v>11</v>
      </c>
      <c r="J733">
        <v>969</v>
      </c>
      <c r="K733">
        <v>2</v>
      </c>
      <c r="L733">
        <v>0</v>
      </c>
      <c r="M733">
        <v>2</v>
      </c>
      <c r="N733">
        <v>0</v>
      </c>
      <c r="O733">
        <v>0</v>
      </c>
      <c r="P733">
        <v>2</v>
      </c>
      <c r="Q733">
        <v>0</v>
      </c>
      <c r="R733">
        <f t="shared" si="22"/>
        <v>2.2933149868134388E-5</v>
      </c>
      <c r="S733" t="s">
        <v>424</v>
      </c>
      <c r="T733">
        <v>32</v>
      </c>
      <c r="U733" t="str">
        <f t="shared" si="23"/>
        <v>Jill Scott:0</v>
      </c>
    </row>
    <row r="734" spans="1:21" x14ac:dyDescent="0.2">
      <c r="A734" t="s">
        <v>384</v>
      </c>
      <c r="B734" t="s">
        <v>606</v>
      </c>
      <c r="C734" t="s">
        <v>607</v>
      </c>
      <c r="D734" t="s">
        <v>19</v>
      </c>
      <c r="E734" t="s">
        <v>37</v>
      </c>
      <c r="F734">
        <v>19</v>
      </c>
      <c r="G734">
        <v>2001</v>
      </c>
      <c r="H734">
        <v>17</v>
      </c>
      <c r="I734">
        <v>12</v>
      </c>
      <c r="J734">
        <v>1053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6</v>
      </c>
      <c r="Q734">
        <v>0</v>
      </c>
      <c r="R734">
        <f t="shared" si="22"/>
        <v>0</v>
      </c>
      <c r="S734" t="s">
        <v>424</v>
      </c>
      <c r="T734">
        <v>15</v>
      </c>
      <c r="U734" t="str">
        <f t="shared" si="23"/>
        <v>Jodie Hutton:0</v>
      </c>
    </row>
    <row r="735" spans="1:21" x14ac:dyDescent="0.2">
      <c r="A735" t="s">
        <v>341</v>
      </c>
      <c r="B735" t="s">
        <v>658</v>
      </c>
      <c r="C735" t="s">
        <v>659</v>
      </c>
      <c r="D735" t="s">
        <v>50</v>
      </c>
      <c r="E735" t="s">
        <v>20</v>
      </c>
      <c r="F735">
        <v>27</v>
      </c>
      <c r="G735">
        <v>1993</v>
      </c>
      <c r="H735">
        <v>19</v>
      </c>
      <c r="I735">
        <v>18</v>
      </c>
      <c r="J735">
        <v>1563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f t="shared" si="22"/>
        <v>0</v>
      </c>
      <c r="S735" t="s">
        <v>424</v>
      </c>
      <c r="T735">
        <v>57</v>
      </c>
      <c r="U735" t="str">
        <f t="shared" si="23"/>
        <v>Jonna Andersson:0</v>
      </c>
    </row>
    <row r="736" spans="1:21" x14ac:dyDescent="0.2">
      <c r="A736" t="s">
        <v>231</v>
      </c>
      <c r="B736" t="s">
        <v>606</v>
      </c>
      <c r="C736" t="s">
        <v>607</v>
      </c>
      <c r="D736" t="s">
        <v>42</v>
      </c>
      <c r="E736" t="s">
        <v>27</v>
      </c>
      <c r="F736">
        <v>27</v>
      </c>
      <c r="G736">
        <v>1992</v>
      </c>
      <c r="H736">
        <v>16</v>
      </c>
      <c r="I736">
        <v>12</v>
      </c>
      <c r="J736">
        <v>1048</v>
      </c>
      <c r="K736">
        <v>5</v>
      </c>
      <c r="L736">
        <v>4</v>
      </c>
      <c r="M736">
        <v>5</v>
      </c>
      <c r="N736">
        <v>0</v>
      </c>
      <c r="O736">
        <v>0</v>
      </c>
      <c r="P736">
        <v>1</v>
      </c>
      <c r="Q736">
        <v>0</v>
      </c>
      <c r="R736">
        <f t="shared" si="22"/>
        <v>5.3011026293469041E-5</v>
      </c>
      <c r="S736" t="s">
        <v>424</v>
      </c>
      <c r="T736">
        <v>48</v>
      </c>
      <c r="U736" t="str">
        <f t="shared" si="23"/>
        <v>Jordan Nobbs:4</v>
      </c>
    </row>
    <row r="737" spans="1:21" x14ac:dyDescent="0.2">
      <c r="A737" t="s">
        <v>126</v>
      </c>
      <c r="D737" t="s">
        <v>50</v>
      </c>
      <c r="E737" t="s">
        <v>20</v>
      </c>
      <c r="F737">
        <v>16</v>
      </c>
      <c r="G737">
        <v>2003</v>
      </c>
      <c r="H737">
        <v>1</v>
      </c>
      <c r="I737">
        <v>0</v>
      </c>
      <c r="J737">
        <v>7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f t="shared" si="22"/>
        <v>0</v>
      </c>
      <c r="S737" t="s">
        <v>424</v>
      </c>
      <c r="T737">
        <v>57</v>
      </c>
      <c r="U737" t="str">
        <f t="shared" si="23"/>
        <v>Jorja Fox:0</v>
      </c>
    </row>
    <row r="738" spans="1:21" x14ac:dyDescent="0.2">
      <c r="A738" t="s">
        <v>141</v>
      </c>
      <c r="B738" t="s">
        <v>624</v>
      </c>
      <c r="C738" t="s">
        <v>625</v>
      </c>
      <c r="D738" t="s">
        <v>34</v>
      </c>
      <c r="E738" t="s">
        <v>30</v>
      </c>
      <c r="F738">
        <v>27</v>
      </c>
      <c r="G738">
        <v>1993</v>
      </c>
      <c r="H738">
        <v>14</v>
      </c>
      <c r="I738">
        <v>11</v>
      </c>
      <c r="J738">
        <v>1003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4</v>
      </c>
      <c r="Q738">
        <v>0</v>
      </c>
      <c r="R738">
        <f t="shared" si="22"/>
        <v>0</v>
      </c>
      <c r="S738" t="s">
        <v>424</v>
      </c>
      <c r="T738">
        <v>20</v>
      </c>
      <c r="U738" t="str">
        <f t="shared" si="23"/>
        <v>Josephine Green:0</v>
      </c>
    </row>
    <row r="739" spans="1:21" x14ac:dyDescent="0.2">
      <c r="A739" t="s">
        <v>428</v>
      </c>
      <c r="B739" t="s">
        <v>606</v>
      </c>
      <c r="C739" t="s">
        <v>607</v>
      </c>
      <c r="D739" t="s">
        <v>40</v>
      </c>
      <c r="E739" t="s">
        <v>32</v>
      </c>
      <c r="F739">
        <v>35</v>
      </c>
      <c r="G739">
        <v>1984</v>
      </c>
      <c r="H739">
        <v>1</v>
      </c>
      <c r="I739">
        <v>1</v>
      </c>
      <c r="J739">
        <v>90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f t="shared" si="22"/>
        <v>0</v>
      </c>
      <c r="S739" t="s">
        <v>424</v>
      </c>
      <c r="T739">
        <v>55</v>
      </c>
      <c r="U739" t="str">
        <f t="shared" si="23"/>
        <v>Karen Bardsley:0</v>
      </c>
    </row>
    <row r="740" spans="1:21" x14ac:dyDescent="0.2">
      <c r="A740" t="s">
        <v>349</v>
      </c>
      <c r="B740" t="s">
        <v>610</v>
      </c>
      <c r="C740" t="s">
        <v>611</v>
      </c>
      <c r="D740" t="s">
        <v>40</v>
      </c>
      <c r="E740" t="s">
        <v>32</v>
      </c>
      <c r="F740">
        <v>31</v>
      </c>
      <c r="G740">
        <v>1989</v>
      </c>
      <c r="H740">
        <v>1</v>
      </c>
      <c r="I740">
        <v>1</v>
      </c>
      <c r="J740">
        <v>90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f t="shared" si="22"/>
        <v>0</v>
      </c>
      <c r="S740" t="s">
        <v>424</v>
      </c>
      <c r="T740">
        <v>55</v>
      </c>
      <c r="U740" t="str">
        <f t="shared" si="23"/>
        <v>Karima Benameur:0</v>
      </c>
    </row>
    <row r="741" spans="1:21" x14ac:dyDescent="0.2">
      <c r="A741" t="s">
        <v>201</v>
      </c>
      <c r="B741" t="s">
        <v>606</v>
      </c>
      <c r="C741" t="s">
        <v>607</v>
      </c>
      <c r="D741" t="s">
        <v>23</v>
      </c>
      <c r="E741" t="s">
        <v>24</v>
      </c>
      <c r="F741">
        <v>31</v>
      </c>
      <c r="G741">
        <v>1989</v>
      </c>
      <c r="H741">
        <v>18</v>
      </c>
      <c r="I741">
        <v>16</v>
      </c>
      <c r="J741">
        <v>1401</v>
      </c>
      <c r="K741">
        <v>0</v>
      </c>
      <c r="L741">
        <v>1</v>
      </c>
      <c r="M741">
        <v>0</v>
      </c>
      <c r="N741">
        <v>0</v>
      </c>
      <c r="O741">
        <v>0</v>
      </c>
      <c r="P741">
        <v>3</v>
      </c>
      <c r="Q741">
        <v>0</v>
      </c>
      <c r="R741">
        <f t="shared" si="22"/>
        <v>0</v>
      </c>
      <c r="S741" t="s">
        <v>424</v>
      </c>
      <c r="T741">
        <v>15</v>
      </c>
      <c r="U741" t="str">
        <f t="shared" si="23"/>
        <v>Kate Longhurst:1</v>
      </c>
    </row>
    <row r="742" spans="1:21" x14ac:dyDescent="0.2">
      <c r="A742" t="s">
        <v>295</v>
      </c>
      <c r="B742" t="s">
        <v>664</v>
      </c>
      <c r="C742" t="s">
        <v>665</v>
      </c>
      <c r="D742" t="s">
        <v>29</v>
      </c>
      <c r="E742" t="s">
        <v>24</v>
      </c>
      <c r="F742">
        <v>24</v>
      </c>
      <c r="G742">
        <v>1996</v>
      </c>
      <c r="H742">
        <v>15</v>
      </c>
      <c r="I742">
        <v>13</v>
      </c>
      <c r="J742">
        <v>1032</v>
      </c>
      <c r="K742">
        <v>3</v>
      </c>
      <c r="L742">
        <v>0</v>
      </c>
      <c r="M742">
        <v>3</v>
      </c>
      <c r="N742">
        <v>0</v>
      </c>
      <c r="O742">
        <v>0</v>
      </c>
      <c r="P742">
        <v>2</v>
      </c>
      <c r="Q742">
        <v>0</v>
      </c>
      <c r="R742">
        <f t="shared" si="22"/>
        <v>3.2299741602067181E-5</v>
      </c>
      <c r="S742" t="s">
        <v>424</v>
      </c>
      <c r="T742">
        <v>15</v>
      </c>
      <c r="U742" t="str">
        <f t="shared" si="23"/>
        <v>Kateřina Svitková:0</v>
      </c>
    </row>
    <row r="743" spans="1:21" x14ac:dyDescent="0.2">
      <c r="A743" t="s">
        <v>213</v>
      </c>
      <c r="B743" t="s">
        <v>632</v>
      </c>
      <c r="C743" t="s">
        <v>633</v>
      </c>
      <c r="D743" t="s">
        <v>50</v>
      </c>
      <c r="E743" t="s">
        <v>27</v>
      </c>
      <c r="F743">
        <v>24</v>
      </c>
      <c r="G743">
        <v>1995</v>
      </c>
      <c r="H743">
        <v>21</v>
      </c>
      <c r="I743">
        <v>19</v>
      </c>
      <c r="J743">
        <v>1735</v>
      </c>
      <c r="K743">
        <v>4</v>
      </c>
      <c r="L743">
        <v>11</v>
      </c>
      <c r="M743">
        <v>4</v>
      </c>
      <c r="N743">
        <v>0</v>
      </c>
      <c r="O743">
        <v>0</v>
      </c>
      <c r="P743">
        <v>3</v>
      </c>
      <c r="Q743">
        <v>0</v>
      </c>
      <c r="R743">
        <f t="shared" si="22"/>
        <v>2.5616394492475185E-5</v>
      </c>
      <c r="S743" t="s">
        <v>424</v>
      </c>
      <c r="T743">
        <v>48</v>
      </c>
      <c r="U743" t="str">
        <f t="shared" si="23"/>
        <v>Katie McCabe:11</v>
      </c>
    </row>
    <row r="744" spans="1:21" x14ac:dyDescent="0.2">
      <c r="A744" t="s">
        <v>262</v>
      </c>
      <c r="B744" t="s">
        <v>606</v>
      </c>
      <c r="C744" t="s">
        <v>607</v>
      </c>
      <c r="D744" t="s">
        <v>26</v>
      </c>
      <c r="E744" t="s">
        <v>48</v>
      </c>
      <c r="F744">
        <v>17</v>
      </c>
      <c r="G744">
        <v>2002</v>
      </c>
      <c r="H744">
        <v>1</v>
      </c>
      <c r="I744">
        <v>1</v>
      </c>
      <c r="J744">
        <v>65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f t="shared" si="22"/>
        <v>0</v>
      </c>
      <c r="S744" t="s">
        <v>424</v>
      </c>
      <c r="T744">
        <v>27</v>
      </c>
      <c r="U744" t="str">
        <f t="shared" si="23"/>
        <v>Katie Robinson:0</v>
      </c>
    </row>
    <row r="745" spans="1:21" x14ac:dyDescent="0.2">
      <c r="A745" t="s">
        <v>335</v>
      </c>
      <c r="B745" t="s">
        <v>606</v>
      </c>
      <c r="C745" t="s">
        <v>607</v>
      </c>
      <c r="D745" t="s">
        <v>34</v>
      </c>
      <c r="E745" t="s">
        <v>52</v>
      </c>
      <c r="F745">
        <v>24</v>
      </c>
      <c r="G745">
        <v>1996</v>
      </c>
      <c r="H745">
        <v>18</v>
      </c>
      <c r="I745">
        <v>16</v>
      </c>
      <c r="J745">
        <v>1268</v>
      </c>
      <c r="K745">
        <v>2</v>
      </c>
      <c r="L745">
        <v>2</v>
      </c>
      <c r="M745">
        <v>2</v>
      </c>
      <c r="N745">
        <v>0</v>
      </c>
      <c r="O745">
        <v>0</v>
      </c>
      <c r="P745">
        <v>3</v>
      </c>
      <c r="Q745">
        <v>0</v>
      </c>
      <c r="R745">
        <f t="shared" si="22"/>
        <v>1.7525411847178407E-5</v>
      </c>
      <c r="S745" t="s">
        <v>424</v>
      </c>
      <c r="T745">
        <v>47</v>
      </c>
      <c r="U745" t="str">
        <f t="shared" si="23"/>
        <v>Katie Zelem:2</v>
      </c>
    </row>
    <row r="746" spans="1:21" x14ac:dyDescent="0.2">
      <c r="A746" t="s">
        <v>142</v>
      </c>
      <c r="B746" t="s">
        <v>624</v>
      </c>
      <c r="C746" t="s">
        <v>625</v>
      </c>
      <c r="D746" t="s">
        <v>42</v>
      </c>
      <c r="E746" t="s">
        <v>48</v>
      </c>
      <c r="F746">
        <v>32</v>
      </c>
      <c r="G746">
        <v>1988</v>
      </c>
      <c r="H746">
        <v>16</v>
      </c>
      <c r="I746">
        <v>13</v>
      </c>
      <c r="J746">
        <v>1167</v>
      </c>
      <c r="K746">
        <v>0</v>
      </c>
      <c r="L746">
        <v>1</v>
      </c>
      <c r="M746">
        <v>0</v>
      </c>
      <c r="N746">
        <v>0</v>
      </c>
      <c r="O746">
        <v>0</v>
      </c>
      <c r="P746">
        <v>4</v>
      </c>
      <c r="Q746">
        <v>1</v>
      </c>
      <c r="R746">
        <f t="shared" si="22"/>
        <v>0</v>
      </c>
      <c r="S746" t="s">
        <v>424</v>
      </c>
      <c r="T746">
        <v>27</v>
      </c>
      <c r="U746" t="str">
        <f t="shared" si="23"/>
        <v>Kayleigh Green:1</v>
      </c>
    </row>
    <row r="747" spans="1:21" x14ac:dyDescent="0.2">
      <c r="A747" t="s">
        <v>416</v>
      </c>
      <c r="B747" t="s">
        <v>606</v>
      </c>
      <c r="C747" t="s">
        <v>607</v>
      </c>
      <c r="D747" t="s">
        <v>34</v>
      </c>
      <c r="E747" t="s">
        <v>32</v>
      </c>
      <c r="F747">
        <v>23</v>
      </c>
      <c r="G747">
        <v>1997</v>
      </c>
      <c r="H747">
        <v>20</v>
      </c>
      <c r="I747">
        <v>20</v>
      </c>
      <c r="J747">
        <v>1776</v>
      </c>
      <c r="K747">
        <v>2</v>
      </c>
      <c r="L747">
        <v>2</v>
      </c>
      <c r="M747">
        <v>2</v>
      </c>
      <c r="N747">
        <v>0</v>
      </c>
      <c r="O747">
        <v>0</v>
      </c>
      <c r="P747">
        <v>0</v>
      </c>
      <c r="Q747">
        <v>0</v>
      </c>
      <c r="R747">
        <f t="shared" si="22"/>
        <v>1.2512512512512513E-5</v>
      </c>
      <c r="S747" t="s">
        <v>424</v>
      </c>
      <c r="T747">
        <v>55</v>
      </c>
      <c r="U747" t="str">
        <f t="shared" si="23"/>
        <v>Keira Walsh:2</v>
      </c>
    </row>
    <row r="748" spans="1:21" x14ac:dyDescent="0.2">
      <c r="A748" t="s">
        <v>103</v>
      </c>
      <c r="B748" t="s">
        <v>610</v>
      </c>
      <c r="C748" t="s">
        <v>611</v>
      </c>
      <c r="D748" t="s">
        <v>34</v>
      </c>
      <c r="E748" t="s">
        <v>24</v>
      </c>
      <c r="F748">
        <v>29</v>
      </c>
      <c r="G748">
        <v>1991</v>
      </c>
      <c r="H748">
        <v>18</v>
      </c>
      <c r="I748">
        <v>15</v>
      </c>
      <c r="J748">
        <v>1356</v>
      </c>
      <c r="K748">
        <v>3</v>
      </c>
      <c r="L748">
        <v>4</v>
      </c>
      <c r="M748">
        <v>3</v>
      </c>
      <c r="N748">
        <v>0</v>
      </c>
      <c r="O748">
        <v>1</v>
      </c>
      <c r="P748">
        <v>1</v>
      </c>
      <c r="Q748">
        <v>0</v>
      </c>
      <c r="R748">
        <f t="shared" si="22"/>
        <v>2.4582104228121928E-5</v>
      </c>
      <c r="S748" t="s">
        <v>424</v>
      </c>
      <c r="T748">
        <v>15</v>
      </c>
      <c r="U748" t="str">
        <f t="shared" si="23"/>
        <v>Kenza Dali:4</v>
      </c>
    </row>
    <row r="749" spans="1:21" x14ac:dyDescent="0.2">
      <c r="A749" t="s">
        <v>151</v>
      </c>
      <c r="B749" t="s">
        <v>606</v>
      </c>
      <c r="C749" t="s">
        <v>607</v>
      </c>
      <c r="D749" t="s">
        <v>50</v>
      </c>
      <c r="E749" t="s">
        <v>30</v>
      </c>
      <c r="F749">
        <v>29</v>
      </c>
      <c r="G749">
        <v>1990</v>
      </c>
      <c r="H749">
        <v>14</v>
      </c>
      <c r="I749">
        <v>12</v>
      </c>
      <c r="J749">
        <v>1092</v>
      </c>
      <c r="K749">
        <v>1</v>
      </c>
      <c r="L749">
        <v>0</v>
      </c>
      <c r="M749">
        <v>1</v>
      </c>
      <c r="N749">
        <v>0</v>
      </c>
      <c r="O749">
        <v>0</v>
      </c>
      <c r="P749">
        <v>6</v>
      </c>
      <c r="Q749">
        <v>0</v>
      </c>
      <c r="R749">
        <f t="shared" si="22"/>
        <v>1.0175010175010176E-5</v>
      </c>
      <c r="S749" t="s">
        <v>424</v>
      </c>
      <c r="T749">
        <v>20</v>
      </c>
      <c r="U749" t="str">
        <f t="shared" si="23"/>
        <v>Kerys Harrop:0</v>
      </c>
    </row>
    <row r="750" spans="1:21" x14ac:dyDescent="0.2">
      <c r="A750" t="s">
        <v>484</v>
      </c>
      <c r="B750" t="s">
        <v>606</v>
      </c>
      <c r="C750" t="s">
        <v>607</v>
      </c>
      <c r="D750" t="s">
        <v>29</v>
      </c>
      <c r="E750" t="s">
        <v>426</v>
      </c>
      <c r="F750">
        <v>19</v>
      </c>
      <c r="G750">
        <v>2001</v>
      </c>
      <c r="H750">
        <v>10</v>
      </c>
      <c r="I750">
        <v>9</v>
      </c>
      <c r="J750">
        <v>823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1</v>
      </c>
      <c r="Q750">
        <v>0</v>
      </c>
      <c r="R750">
        <f t="shared" si="22"/>
        <v>0</v>
      </c>
      <c r="S750" t="s">
        <v>424</v>
      </c>
      <c r="T750">
        <v>12</v>
      </c>
      <c r="U750" t="str">
        <f t="shared" si="23"/>
        <v>Kiera Skeels:0</v>
      </c>
    </row>
    <row r="751" spans="1:21" x14ac:dyDescent="0.2">
      <c r="A751" t="s">
        <v>199</v>
      </c>
      <c r="B751" t="s">
        <v>652</v>
      </c>
      <c r="C751" t="s">
        <v>653</v>
      </c>
      <c r="D751" t="s">
        <v>34</v>
      </c>
      <c r="E751" t="s">
        <v>27</v>
      </c>
      <c r="F751">
        <v>30</v>
      </c>
      <c r="G751">
        <v>1990</v>
      </c>
      <c r="H751">
        <v>16</v>
      </c>
      <c r="I751">
        <v>14</v>
      </c>
      <c r="J751">
        <v>1268</v>
      </c>
      <c r="K751">
        <v>5</v>
      </c>
      <c r="L751">
        <v>2</v>
      </c>
      <c r="M751">
        <v>3</v>
      </c>
      <c r="N751">
        <v>2</v>
      </c>
      <c r="O751">
        <v>3</v>
      </c>
      <c r="P751">
        <v>0</v>
      </c>
      <c r="Q751">
        <v>0</v>
      </c>
      <c r="R751">
        <f t="shared" si="22"/>
        <v>4.3813529617946018E-5</v>
      </c>
      <c r="S751" t="s">
        <v>424</v>
      </c>
      <c r="T751">
        <v>48</v>
      </c>
      <c r="U751" t="str">
        <f t="shared" si="23"/>
        <v>Kim Little:2</v>
      </c>
    </row>
    <row r="752" spans="1:21" x14ac:dyDescent="0.2">
      <c r="A752" t="s">
        <v>430</v>
      </c>
      <c r="B752" t="s">
        <v>606</v>
      </c>
      <c r="C752" t="s">
        <v>607</v>
      </c>
      <c r="D752" t="s">
        <v>50</v>
      </c>
      <c r="E752" t="s">
        <v>48</v>
      </c>
      <c r="F752">
        <v>28</v>
      </c>
      <c r="G752">
        <v>1992</v>
      </c>
      <c r="H752">
        <v>3</v>
      </c>
      <c r="I752">
        <v>1</v>
      </c>
      <c r="J752">
        <v>81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f t="shared" si="22"/>
        <v>0</v>
      </c>
      <c r="S752" t="s">
        <v>424</v>
      </c>
      <c r="T752">
        <v>27</v>
      </c>
      <c r="U752" t="str">
        <f t="shared" si="23"/>
        <v>Kirsty Barton:0</v>
      </c>
    </row>
    <row r="753" spans="1:21" x14ac:dyDescent="0.2">
      <c r="A753" t="s">
        <v>147</v>
      </c>
      <c r="B753" t="s">
        <v>652</v>
      </c>
      <c r="C753" t="s">
        <v>653</v>
      </c>
      <c r="D753" t="s">
        <v>26</v>
      </c>
      <c r="E753" t="s">
        <v>52</v>
      </c>
      <c r="F753">
        <v>22</v>
      </c>
      <c r="G753">
        <v>1998</v>
      </c>
      <c r="H753">
        <v>20</v>
      </c>
      <c r="I753">
        <v>11</v>
      </c>
      <c r="J753">
        <v>1076</v>
      </c>
      <c r="K753">
        <v>5</v>
      </c>
      <c r="L753">
        <v>2</v>
      </c>
      <c r="M753">
        <v>5</v>
      </c>
      <c r="N753">
        <v>0</v>
      </c>
      <c r="O753">
        <v>0</v>
      </c>
      <c r="P753">
        <v>0</v>
      </c>
      <c r="Q753">
        <v>0</v>
      </c>
      <c r="R753">
        <f t="shared" si="22"/>
        <v>5.1631557207765389E-5</v>
      </c>
      <c r="S753" t="s">
        <v>424</v>
      </c>
      <c r="T753">
        <v>47</v>
      </c>
      <c r="U753" t="str">
        <f t="shared" si="23"/>
        <v>Kirsty Hanson:2</v>
      </c>
    </row>
    <row r="754" spans="1:21" x14ac:dyDescent="0.2">
      <c r="A754" t="s">
        <v>280</v>
      </c>
      <c r="B754" t="s">
        <v>652</v>
      </c>
      <c r="C754" t="s">
        <v>653</v>
      </c>
      <c r="D754" t="s">
        <v>50</v>
      </c>
      <c r="E754" t="s">
        <v>52</v>
      </c>
      <c r="F754">
        <v>26</v>
      </c>
      <c r="G754">
        <v>1994</v>
      </c>
      <c r="H754">
        <v>13</v>
      </c>
      <c r="I754">
        <v>11</v>
      </c>
      <c r="J754">
        <v>1057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f t="shared" si="22"/>
        <v>0</v>
      </c>
      <c r="S754" t="s">
        <v>424</v>
      </c>
      <c r="T754">
        <v>47</v>
      </c>
      <c r="U754" t="str">
        <f t="shared" si="23"/>
        <v>Kirsty Smith:0</v>
      </c>
    </row>
    <row r="755" spans="1:21" x14ac:dyDescent="0.2">
      <c r="A755" t="s">
        <v>139</v>
      </c>
      <c r="B755" t="s">
        <v>606</v>
      </c>
      <c r="C755" t="s">
        <v>607</v>
      </c>
      <c r="D755" t="s">
        <v>23</v>
      </c>
      <c r="E755" t="s">
        <v>30</v>
      </c>
      <c r="F755">
        <v>24</v>
      </c>
      <c r="G755">
        <v>1995</v>
      </c>
      <c r="H755">
        <v>17</v>
      </c>
      <c r="I755">
        <v>13</v>
      </c>
      <c r="J755">
        <v>1104</v>
      </c>
      <c r="K755">
        <v>1</v>
      </c>
      <c r="L755">
        <v>1</v>
      </c>
      <c r="M755">
        <v>1</v>
      </c>
      <c r="N755">
        <v>0</v>
      </c>
      <c r="O755">
        <v>0</v>
      </c>
      <c r="P755">
        <v>0</v>
      </c>
      <c r="Q755">
        <v>0</v>
      </c>
      <c r="R755">
        <f t="shared" si="22"/>
        <v>1.0064412238325282E-5</v>
      </c>
      <c r="S755" t="s">
        <v>424</v>
      </c>
      <c r="T755">
        <v>20</v>
      </c>
      <c r="U755" t="str">
        <f t="shared" si="23"/>
        <v>Kit Graham:1</v>
      </c>
    </row>
    <row r="756" spans="1:21" x14ac:dyDescent="0.2">
      <c r="A756" t="s">
        <v>460</v>
      </c>
      <c r="B756" t="s">
        <v>618</v>
      </c>
      <c r="C756" t="s">
        <v>619</v>
      </c>
      <c r="D756" t="s">
        <v>50</v>
      </c>
      <c r="E756" t="s">
        <v>35</v>
      </c>
      <c r="F756">
        <v>24</v>
      </c>
      <c r="G756">
        <v>1996</v>
      </c>
      <c r="H756">
        <v>18</v>
      </c>
      <c r="I756">
        <v>12</v>
      </c>
      <c r="J756">
        <v>1175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2</v>
      </c>
      <c r="Q756">
        <v>0</v>
      </c>
      <c r="R756">
        <f t="shared" si="22"/>
        <v>0</v>
      </c>
      <c r="S756" t="s">
        <v>424</v>
      </c>
      <c r="T756">
        <v>24</v>
      </c>
      <c r="U756" t="str">
        <f t="shared" si="23"/>
        <v>Kristine Leine:0</v>
      </c>
    </row>
    <row r="757" spans="1:21" x14ac:dyDescent="0.2">
      <c r="A757" t="s">
        <v>96</v>
      </c>
      <c r="B757" t="s">
        <v>606</v>
      </c>
      <c r="C757" t="s">
        <v>607</v>
      </c>
      <c r="D757" t="s">
        <v>34</v>
      </c>
      <c r="E757" t="s">
        <v>32</v>
      </c>
      <c r="F757">
        <v>29</v>
      </c>
      <c r="G757">
        <v>1991</v>
      </c>
      <c r="H757">
        <v>13</v>
      </c>
      <c r="I757">
        <v>6</v>
      </c>
      <c r="J757">
        <v>634</v>
      </c>
      <c r="K757">
        <v>2</v>
      </c>
      <c r="L757">
        <v>1</v>
      </c>
      <c r="M757">
        <v>2</v>
      </c>
      <c r="N757">
        <v>0</v>
      </c>
      <c r="O757">
        <v>0</v>
      </c>
      <c r="P757">
        <v>0</v>
      </c>
      <c r="Q757">
        <v>0</v>
      </c>
      <c r="R757">
        <f t="shared" si="22"/>
        <v>3.5050823694356813E-5</v>
      </c>
      <c r="S757" t="s">
        <v>424</v>
      </c>
      <c r="T757">
        <v>55</v>
      </c>
      <c r="U757" t="str">
        <f t="shared" si="23"/>
        <v>Laura Coombs:1</v>
      </c>
    </row>
    <row r="758" spans="1:21" x14ac:dyDescent="0.2">
      <c r="A758" t="s">
        <v>476</v>
      </c>
      <c r="B758" t="s">
        <v>646</v>
      </c>
      <c r="C758" t="s">
        <v>647</v>
      </c>
      <c r="D758" t="s">
        <v>29</v>
      </c>
      <c r="E758" t="s">
        <v>426</v>
      </c>
      <c r="F758">
        <v>24</v>
      </c>
      <c r="G758">
        <v>1996</v>
      </c>
      <c r="H758">
        <v>13</v>
      </c>
      <c r="I758">
        <v>6</v>
      </c>
      <c r="J758">
        <v>587</v>
      </c>
      <c r="K758">
        <v>0</v>
      </c>
      <c r="L758">
        <v>1</v>
      </c>
      <c r="M758">
        <v>0</v>
      </c>
      <c r="N758">
        <v>0</v>
      </c>
      <c r="O758">
        <v>0</v>
      </c>
      <c r="P758">
        <v>1</v>
      </c>
      <c r="Q758">
        <v>0</v>
      </c>
      <c r="R758">
        <f t="shared" si="22"/>
        <v>0</v>
      </c>
      <c r="S758" t="s">
        <v>424</v>
      </c>
      <c r="T758">
        <v>12</v>
      </c>
      <c r="U758" t="str">
        <f t="shared" si="23"/>
        <v>Laura Rafferty:1</v>
      </c>
    </row>
    <row r="759" spans="1:21" x14ac:dyDescent="0.2">
      <c r="A759" t="s">
        <v>489</v>
      </c>
      <c r="B759" t="s">
        <v>630</v>
      </c>
      <c r="C759" t="s">
        <v>631</v>
      </c>
      <c r="D759" t="s">
        <v>29</v>
      </c>
      <c r="E759" t="s">
        <v>24</v>
      </c>
      <c r="F759">
        <v>28</v>
      </c>
      <c r="G759">
        <v>1992</v>
      </c>
      <c r="H759">
        <v>17</v>
      </c>
      <c r="I759">
        <v>16</v>
      </c>
      <c r="J759">
        <v>1327</v>
      </c>
      <c r="K759">
        <v>0</v>
      </c>
      <c r="L759">
        <v>1</v>
      </c>
      <c r="M759">
        <v>0</v>
      </c>
      <c r="N759">
        <v>0</v>
      </c>
      <c r="O759">
        <v>0</v>
      </c>
      <c r="P759">
        <v>5</v>
      </c>
      <c r="Q759">
        <v>1</v>
      </c>
      <c r="R759">
        <f t="shared" si="22"/>
        <v>0</v>
      </c>
      <c r="S759" t="s">
        <v>424</v>
      </c>
      <c r="T759">
        <v>15</v>
      </c>
      <c r="U759" t="str">
        <f t="shared" si="23"/>
        <v>Laura Vetterlein:1</v>
      </c>
    </row>
    <row r="760" spans="1:21" x14ac:dyDescent="0.2">
      <c r="A760" t="s">
        <v>432</v>
      </c>
      <c r="B760" t="s">
        <v>606</v>
      </c>
      <c r="C760" t="s">
        <v>607</v>
      </c>
      <c r="D760" t="s">
        <v>42</v>
      </c>
      <c r="E760" t="s">
        <v>35</v>
      </c>
      <c r="F760">
        <v>27</v>
      </c>
      <c r="G760">
        <v>1992</v>
      </c>
      <c r="H760">
        <v>15</v>
      </c>
      <c r="I760">
        <v>7</v>
      </c>
      <c r="J760">
        <v>718</v>
      </c>
      <c r="K760">
        <v>3</v>
      </c>
      <c r="L760">
        <v>0</v>
      </c>
      <c r="M760">
        <v>3</v>
      </c>
      <c r="N760">
        <v>0</v>
      </c>
      <c r="O760">
        <v>0</v>
      </c>
      <c r="P760">
        <v>2</v>
      </c>
      <c r="Q760">
        <v>0</v>
      </c>
      <c r="R760">
        <f t="shared" si="22"/>
        <v>4.6425255338904368E-5</v>
      </c>
      <c r="S760" t="s">
        <v>424</v>
      </c>
      <c r="T760">
        <v>24</v>
      </c>
      <c r="U760" t="str">
        <f t="shared" si="23"/>
        <v>Lauren Bruton:0</v>
      </c>
    </row>
    <row r="761" spans="1:21" x14ac:dyDescent="0.2">
      <c r="A761" t="s">
        <v>154</v>
      </c>
      <c r="B761" t="s">
        <v>606</v>
      </c>
      <c r="C761" t="s">
        <v>607</v>
      </c>
      <c r="D761" t="s">
        <v>26</v>
      </c>
      <c r="E761" t="s">
        <v>32</v>
      </c>
      <c r="F761">
        <v>19</v>
      </c>
      <c r="G761">
        <v>2000</v>
      </c>
      <c r="H761">
        <v>15</v>
      </c>
      <c r="I761">
        <v>13</v>
      </c>
      <c r="J761">
        <v>1057</v>
      </c>
      <c r="K761">
        <v>6</v>
      </c>
      <c r="L761">
        <v>8</v>
      </c>
      <c r="M761">
        <v>6</v>
      </c>
      <c r="N761">
        <v>0</v>
      </c>
      <c r="O761">
        <v>0</v>
      </c>
      <c r="P761">
        <v>0</v>
      </c>
      <c r="Q761">
        <v>0</v>
      </c>
      <c r="R761">
        <f t="shared" si="22"/>
        <v>6.3071586250394197E-5</v>
      </c>
      <c r="S761" t="s">
        <v>424</v>
      </c>
      <c r="T761">
        <v>55</v>
      </c>
      <c r="U761" t="str">
        <f t="shared" si="23"/>
        <v>Lauren Hemp:8</v>
      </c>
    </row>
    <row r="762" spans="1:21" x14ac:dyDescent="0.2">
      <c r="A762" t="s">
        <v>170</v>
      </c>
      <c r="B762" t="s">
        <v>606</v>
      </c>
      <c r="C762" t="s">
        <v>607</v>
      </c>
      <c r="D762" t="s">
        <v>26</v>
      </c>
      <c r="E762" t="s">
        <v>52</v>
      </c>
      <c r="F762">
        <v>18</v>
      </c>
      <c r="G762">
        <v>2001</v>
      </c>
      <c r="H762">
        <v>10</v>
      </c>
      <c r="I762">
        <v>5</v>
      </c>
      <c r="J762">
        <v>436</v>
      </c>
      <c r="K762">
        <v>2</v>
      </c>
      <c r="L762">
        <v>1</v>
      </c>
      <c r="M762">
        <v>2</v>
      </c>
      <c r="N762">
        <v>0</v>
      </c>
      <c r="O762">
        <v>0</v>
      </c>
      <c r="P762">
        <v>0</v>
      </c>
      <c r="Q762">
        <v>0</v>
      </c>
      <c r="R762">
        <f t="shared" si="22"/>
        <v>5.0968399592252805E-5</v>
      </c>
      <c r="S762" t="s">
        <v>424</v>
      </c>
      <c r="T762">
        <v>47</v>
      </c>
      <c r="U762" t="str">
        <f t="shared" si="23"/>
        <v>Lauren James:1</v>
      </c>
    </row>
    <row r="763" spans="1:21" x14ac:dyDescent="0.2">
      <c r="A763" t="s">
        <v>129</v>
      </c>
      <c r="B763" t="s">
        <v>606</v>
      </c>
      <c r="C763" t="s">
        <v>607</v>
      </c>
      <c r="D763" t="s">
        <v>248</v>
      </c>
      <c r="E763" t="s">
        <v>52</v>
      </c>
      <c r="F763">
        <v>26</v>
      </c>
      <c r="G763">
        <v>1994</v>
      </c>
      <c r="H763">
        <v>17</v>
      </c>
      <c r="I763">
        <v>15</v>
      </c>
      <c r="J763">
        <v>1323</v>
      </c>
      <c r="K763">
        <v>6</v>
      </c>
      <c r="L763">
        <v>2</v>
      </c>
      <c r="M763">
        <v>6</v>
      </c>
      <c r="N763">
        <v>0</v>
      </c>
      <c r="O763">
        <v>0</v>
      </c>
      <c r="P763">
        <v>0</v>
      </c>
      <c r="Q763">
        <v>0</v>
      </c>
      <c r="R763">
        <f t="shared" si="22"/>
        <v>5.0390526581002771E-5</v>
      </c>
      <c r="S763" t="s">
        <v>424</v>
      </c>
      <c r="T763">
        <v>47</v>
      </c>
      <c r="U763" t="str">
        <f t="shared" si="23"/>
        <v>Leah Galton:2</v>
      </c>
    </row>
    <row r="764" spans="1:21" x14ac:dyDescent="0.2">
      <c r="A764" t="s">
        <v>330</v>
      </c>
      <c r="B764" t="s">
        <v>606</v>
      </c>
      <c r="C764" t="s">
        <v>607</v>
      </c>
      <c r="D764" t="s">
        <v>50</v>
      </c>
      <c r="E764" t="s">
        <v>27</v>
      </c>
      <c r="F764">
        <v>23</v>
      </c>
      <c r="G764">
        <v>1997</v>
      </c>
      <c r="H764">
        <v>20</v>
      </c>
      <c r="I764">
        <v>18</v>
      </c>
      <c r="J764">
        <v>1674</v>
      </c>
      <c r="K764">
        <v>1</v>
      </c>
      <c r="L764">
        <v>2</v>
      </c>
      <c r="M764">
        <v>1</v>
      </c>
      <c r="N764">
        <v>0</v>
      </c>
      <c r="O764">
        <v>0</v>
      </c>
      <c r="P764">
        <v>2</v>
      </c>
      <c r="Q764">
        <v>0</v>
      </c>
      <c r="R764">
        <f t="shared" si="22"/>
        <v>6.6374618345944509E-6</v>
      </c>
      <c r="S764" t="s">
        <v>424</v>
      </c>
      <c r="T764">
        <v>48</v>
      </c>
      <c r="U764" t="str">
        <f t="shared" si="23"/>
        <v>Leah Williamson:2</v>
      </c>
    </row>
    <row r="765" spans="1:21" x14ac:dyDescent="0.2">
      <c r="A765" t="s">
        <v>180</v>
      </c>
      <c r="B765" t="s">
        <v>632</v>
      </c>
      <c r="C765" t="s">
        <v>633</v>
      </c>
      <c r="D765" t="s">
        <v>26</v>
      </c>
      <c r="E765" t="s">
        <v>24</v>
      </c>
      <c r="F765">
        <v>21</v>
      </c>
      <c r="G765">
        <v>1999</v>
      </c>
      <c r="H765">
        <v>7</v>
      </c>
      <c r="I765">
        <v>2</v>
      </c>
      <c r="J765">
        <v>214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f t="shared" si="22"/>
        <v>0</v>
      </c>
      <c r="S765" t="s">
        <v>424</v>
      </c>
      <c r="T765">
        <v>15</v>
      </c>
      <c r="U765" t="str">
        <f t="shared" si="23"/>
        <v>Leanne Kiernan:0</v>
      </c>
    </row>
    <row r="766" spans="1:21" x14ac:dyDescent="0.2">
      <c r="A766" t="s">
        <v>132</v>
      </c>
      <c r="B766" t="s">
        <v>640</v>
      </c>
      <c r="C766" t="s">
        <v>641</v>
      </c>
      <c r="D766" t="s">
        <v>26</v>
      </c>
      <c r="E766" t="s">
        <v>48</v>
      </c>
      <c r="F766">
        <v>26</v>
      </c>
      <c r="G766">
        <v>1994</v>
      </c>
      <c r="H766">
        <v>17</v>
      </c>
      <c r="I766">
        <v>12</v>
      </c>
      <c r="J766">
        <v>1032</v>
      </c>
      <c r="K766">
        <v>3</v>
      </c>
      <c r="L766">
        <v>0</v>
      </c>
      <c r="M766">
        <v>3</v>
      </c>
      <c r="N766">
        <v>0</v>
      </c>
      <c r="O766">
        <v>0</v>
      </c>
      <c r="P766">
        <v>2</v>
      </c>
      <c r="Q766">
        <v>0</v>
      </c>
      <c r="R766">
        <f t="shared" si="22"/>
        <v>3.2299741602067181E-5</v>
      </c>
      <c r="S766" t="s">
        <v>424</v>
      </c>
      <c r="T766">
        <v>27</v>
      </c>
      <c r="U766" t="str">
        <f t="shared" si="23"/>
        <v>Lee Geum-min:0</v>
      </c>
    </row>
    <row r="767" spans="1:21" x14ac:dyDescent="0.2">
      <c r="A767" t="s">
        <v>207</v>
      </c>
      <c r="B767" t="s">
        <v>630</v>
      </c>
      <c r="C767" t="s">
        <v>631</v>
      </c>
      <c r="D767" t="s">
        <v>50</v>
      </c>
      <c r="E767" t="s">
        <v>27</v>
      </c>
      <c r="F767">
        <v>27</v>
      </c>
      <c r="G767">
        <v>1992</v>
      </c>
      <c r="H767">
        <v>12</v>
      </c>
      <c r="I767">
        <v>6</v>
      </c>
      <c r="J767">
        <v>501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2</v>
      </c>
      <c r="Q767">
        <v>0</v>
      </c>
      <c r="R767">
        <f t="shared" si="22"/>
        <v>0</v>
      </c>
      <c r="S767" t="s">
        <v>424</v>
      </c>
      <c r="T767">
        <v>48</v>
      </c>
      <c r="U767" t="str">
        <f t="shared" si="23"/>
        <v>Leonie Maier:0</v>
      </c>
    </row>
    <row r="768" spans="1:21" x14ac:dyDescent="0.2">
      <c r="A768" t="s">
        <v>320</v>
      </c>
      <c r="B768" t="s">
        <v>614</v>
      </c>
      <c r="C768" t="s">
        <v>615</v>
      </c>
      <c r="D768" t="s">
        <v>94</v>
      </c>
      <c r="E768" t="s">
        <v>27</v>
      </c>
      <c r="F768">
        <v>27</v>
      </c>
      <c r="G768">
        <v>1993</v>
      </c>
      <c r="H768">
        <v>20</v>
      </c>
      <c r="I768">
        <v>18</v>
      </c>
      <c r="J768">
        <v>1567</v>
      </c>
      <c r="K768">
        <v>0</v>
      </c>
      <c r="L768">
        <v>1</v>
      </c>
      <c r="M768">
        <v>0</v>
      </c>
      <c r="N768">
        <v>0</v>
      </c>
      <c r="O768">
        <v>0</v>
      </c>
      <c r="P768">
        <v>2</v>
      </c>
      <c r="Q768">
        <v>0</v>
      </c>
      <c r="R768">
        <f t="shared" si="22"/>
        <v>0</v>
      </c>
      <c r="S768" t="s">
        <v>424</v>
      </c>
      <c r="T768">
        <v>48</v>
      </c>
      <c r="U768" t="str">
        <f t="shared" si="23"/>
        <v>Lia Wälti:1</v>
      </c>
    </row>
    <row r="769" spans="1:21" x14ac:dyDescent="0.2">
      <c r="A769" t="s">
        <v>47</v>
      </c>
      <c r="B769" t="s">
        <v>606</v>
      </c>
      <c r="C769" t="s">
        <v>607</v>
      </c>
      <c r="D769" t="s">
        <v>23</v>
      </c>
      <c r="E769" t="s">
        <v>48</v>
      </c>
      <c r="F769">
        <v>17</v>
      </c>
      <c r="G769">
        <v>2003</v>
      </c>
      <c r="H769">
        <v>10</v>
      </c>
      <c r="I769">
        <v>1</v>
      </c>
      <c r="J769">
        <v>237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1</v>
      </c>
      <c r="Q769">
        <v>0</v>
      </c>
      <c r="R769">
        <f t="shared" si="22"/>
        <v>0</v>
      </c>
      <c r="S769" t="s">
        <v>424</v>
      </c>
      <c r="T769">
        <v>27</v>
      </c>
      <c r="U769" t="str">
        <f t="shared" si="23"/>
        <v>Libby Bance:0</v>
      </c>
    </row>
    <row r="770" spans="1:21" x14ac:dyDescent="0.2">
      <c r="A770" t="s">
        <v>331</v>
      </c>
      <c r="B770" t="s">
        <v>624</v>
      </c>
      <c r="C770" t="s">
        <v>625</v>
      </c>
      <c r="D770" t="s">
        <v>50</v>
      </c>
      <c r="E770" t="s">
        <v>35</v>
      </c>
      <c r="F770">
        <v>19</v>
      </c>
      <c r="G770">
        <v>2000</v>
      </c>
      <c r="H770">
        <v>12</v>
      </c>
      <c r="I770">
        <v>10</v>
      </c>
      <c r="J770">
        <v>896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1</v>
      </c>
      <c r="Q770">
        <v>0</v>
      </c>
      <c r="R770">
        <f t="shared" si="22"/>
        <v>0</v>
      </c>
      <c r="S770" t="s">
        <v>424</v>
      </c>
      <c r="T770">
        <v>24</v>
      </c>
      <c r="U770" t="str">
        <f t="shared" si="23"/>
        <v>Lily Woodham:0</v>
      </c>
    </row>
    <row r="771" spans="1:21" x14ac:dyDescent="0.2">
      <c r="A771" t="s">
        <v>114</v>
      </c>
      <c r="B771" t="s">
        <v>652</v>
      </c>
      <c r="C771" t="s">
        <v>653</v>
      </c>
      <c r="D771" t="s">
        <v>19</v>
      </c>
      <c r="E771" t="s">
        <v>27</v>
      </c>
      <c r="F771">
        <v>28</v>
      </c>
      <c r="G771">
        <v>1992</v>
      </c>
      <c r="H771">
        <v>11</v>
      </c>
      <c r="I771">
        <v>4</v>
      </c>
      <c r="J771">
        <v>471</v>
      </c>
      <c r="K771">
        <v>2</v>
      </c>
      <c r="L771">
        <v>1</v>
      </c>
      <c r="M771">
        <v>2</v>
      </c>
      <c r="N771">
        <v>0</v>
      </c>
      <c r="O771">
        <v>0</v>
      </c>
      <c r="P771">
        <v>0</v>
      </c>
      <c r="Q771">
        <v>0</v>
      </c>
      <c r="R771">
        <f t="shared" ref="R771:R834" si="24">K771/J771/90</f>
        <v>4.7180938900684121E-5</v>
      </c>
      <c r="S771" t="s">
        <v>424</v>
      </c>
      <c r="T771">
        <v>48</v>
      </c>
      <c r="U771" t="str">
        <f t="shared" ref="U771:U834" si="25">CONCATENATE(A771, ":", L771)</f>
        <v>Lisa Evans:1</v>
      </c>
    </row>
    <row r="772" spans="1:21" x14ac:dyDescent="0.2">
      <c r="A772" t="s">
        <v>490</v>
      </c>
      <c r="B772" t="s">
        <v>630</v>
      </c>
      <c r="C772" t="s">
        <v>631</v>
      </c>
      <c r="D772" t="s">
        <v>40</v>
      </c>
      <c r="E772" t="s">
        <v>37</v>
      </c>
      <c r="F772">
        <v>32</v>
      </c>
      <c r="G772">
        <v>1987</v>
      </c>
      <c r="H772">
        <v>21</v>
      </c>
      <c r="I772">
        <v>21</v>
      </c>
      <c r="J772">
        <v>1890</v>
      </c>
      <c r="K772">
        <v>0</v>
      </c>
      <c r="L772">
        <v>1</v>
      </c>
      <c r="M772">
        <v>0</v>
      </c>
      <c r="N772">
        <v>0</v>
      </c>
      <c r="O772">
        <v>0</v>
      </c>
      <c r="P772">
        <v>2</v>
      </c>
      <c r="Q772">
        <v>0</v>
      </c>
      <c r="R772">
        <f t="shared" si="24"/>
        <v>0</v>
      </c>
      <c r="S772" t="s">
        <v>424</v>
      </c>
      <c r="T772">
        <v>15</v>
      </c>
      <c r="U772" t="str">
        <f t="shared" si="25"/>
        <v>Lisa Weiß:1</v>
      </c>
    </row>
    <row r="773" spans="1:21" x14ac:dyDescent="0.2">
      <c r="A773" t="s">
        <v>386</v>
      </c>
      <c r="B773" t="s">
        <v>606</v>
      </c>
      <c r="C773" t="s">
        <v>607</v>
      </c>
      <c r="D773" t="s">
        <v>29</v>
      </c>
      <c r="E773" t="s">
        <v>24</v>
      </c>
      <c r="F773">
        <v>21</v>
      </c>
      <c r="G773">
        <v>1999</v>
      </c>
      <c r="H773">
        <v>5</v>
      </c>
      <c r="I773">
        <v>3</v>
      </c>
      <c r="J773">
        <v>278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f t="shared" si="24"/>
        <v>0</v>
      </c>
      <c r="S773" t="s">
        <v>424</v>
      </c>
      <c r="T773">
        <v>15</v>
      </c>
      <c r="U773" t="str">
        <f t="shared" si="25"/>
        <v>Lois Joel:0</v>
      </c>
    </row>
    <row r="774" spans="1:21" x14ac:dyDescent="0.2">
      <c r="A774" t="s">
        <v>473</v>
      </c>
      <c r="B774" t="s">
        <v>658</v>
      </c>
      <c r="C774" t="s">
        <v>659</v>
      </c>
      <c r="D774" t="s">
        <v>50</v>
      </c>
      <c r="E774" t="s">
        <v>52</v>
      </c>
      <c r="F774">
        <v>23</v>
      </c>
      <c r="G774">
        <v>1997</v>
      </c>
      <c r="H774">
        <v>3</v>
      </c>
      <c r="I774">
        <v>1</v>
      </c>
      <c r="J774">
        <v>113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1</v>
      </c>
      <c r="Q774">
        <v>0</v>
      </c>
      <c r="R774">
        <f t="shared" si="24"/>
        <v>0</v>
      </c>
      <c r="S774" t="s">
        <v>424</v>
      </c>
      <c r="T774">
        <v>47</v>
      </c>
      <c r="U774" t="str">
        <f t="shared" si="25"/>
        <v>Lotta Ökvist:0</v>
      </c>
    </row>
    <row r="775" spans="1:21" x14ac:dyDescent="0.2">
      <c r="A775" t="s">
        <v>332</v>
      </c>
      <c r="B775" t="s">
        <v>606</v>
      </c>
      <c r="C775" t="s">
        <v>607</v>
      </c>
      <c r="D775" t="s">
        <v>50</v>
      </c>
      <c r="E775" t="s">
        <v>27</v>
      </c>
      <c r="F775">
        <v>21</v>
      </c>
      <c r="G775">
        <v>1999</v>
      </c>
      <c r="H775">
        <v>17</v>
      </c>
      <c r="I775">
        <v>12</v>
      </c>
      <c r="J775">
        <v>1123</v>
      </c>
      <c r="K775">
        <v>2</v>
      </c>
      <c r="L775">
        <v>0</v>
      </c>
      <c r="M775">
        <v>2</v>
      </c>
      <c r="N775">
        <v>0</v>
      </c>
      <c r="O775">
        <v>0</v>
      </c>
      <c r="P775">
        <v>2</v>
      </c>
      <c r="Q775">
        <v>0</v>
      </c>
      <c r="R775">
        <f t="shared" si="24"/>
        <v>1.9788265558523794E-5</v>
      </c>
      <c r="S775" t="s">
        <v>424</v>
      </c>
      <c r="T775">
        <v>48</v>
      </c>
      <c r="U775" t="str">
        <f t="shared" si="25"/>
        <v>Lotte Wubben-Moy:0</v>
      </c>
    </row>
    <row r="776" spans="1:21" x14ac:dyDescent="0.2">
      <c r="A776" t="s">
        <v>462</v>
      </c>
      <c r="B776" t="s">
        <v>680</v>
      </c>
      <c r="C776" t="s">
        <v>681</v>
      </c>
      <c r="D776" t="s">
        <v>42</v>
      </c>
      <c r="E776" t="s">
        <v>30</v>
      </c>
      <c r="F776">
        <v>22</v>
      </c>
      <c r="G776">
        <v>1997</v>
      </c>
      <c r="H776">
        <v>7</v>
      </c>
      <c r="I776">
        <v>2</v>
      </c>
      <c r="J776">
        <v>245</v>
      </c>
      <c r="K776">
        <v>1</v>
      </c>
      <c r="L776">
        <v>0</v>
      </c>
      <c r="M776">
        <v>1</v>
      </c>
      <c r="N776">
        <v>0</v>
      </c>
      <c r="O776">
        <v>1</v>
      </c>
      <c r="P776">
        <v>0</v>
      </c>
      <c r="Q776">
        <v>0</v>
      </c>
      <c r="R776">
        <f t="shared" si="24"/>
        <v>4.5351473922902495E-5</v>
      </c>
      <c r="S776" t="s">
        <v>424</v>
      </c>
      <c r="T776">
        <v>20</v>
      </c>
      <c r="U776" t="str">
        <f t="shared" si="25"/>
        <v>Lucía Marte:0</v>
      </c>
    </row>
    <row r="777" spans="1:21" x14ac:dyDescent="0.2">
      <c r="A777" t="s">
        <v>352</v>
      </c>
      <c r="B777" t="s">
        <v>606</v>
      </c>
      <c r="C777" t="s">
        <v>607</v>
      </c>
      <c r="D777" t="s">
        <v>50</v>
      </c>
      <c r="E777" t="s">
        <v>32</v>
      </c>
      <c r="F777">
        <v>28</v>
      </c>
      <c r="G777">
        <v>1991</v>
      </c>
      <c r="H777">
        <v>18</v>
      </c>
      <c r="I777">
        <v>18</v>
      </c>
      <c r="J777">
        <v>1525</v>
      </c>
      <c r="K777">
        <v>2</v>
      </c>
      <c r="L777">
        <v>5</v>
      </c>
      <c r="M777">
        <v>2</v>
      </c>
      <c r="N777">
        <v>0</v>
      </c>
      <c r="O777">
        <v>0</v>
      </c>
      <c r="P777">
        <v>2</v>
      </c>
      <c r="Q777">
        <v>0</v>
      </c>
      <c r="R777">
        <f t="shared" si="24"/>
        <v>1.4571948998178506E-5</v>
      </c>
      <c r="S777" t="s">
        <v>424</v>
      </c>
      <c r="T777">
        <v>55</v>
      </c>
      <c r="U777" t="str">
        <f t="shared" si="25"/>
        <v>Lucy Bronze:5</v>
      </c>
    </row>
    <row r="778" spans="1:21" x14ac:dyDescent="0.2">
      <c r="A778" t="s">
        <v>140</v>
      </c>
      <c r="B778" t="s">
        <v>652</v>
      </c>
      <c r="C778" t="s">
        <v>653</v>
      </c>
      <c r="D778" t="s">
        <v>23</v>
      </c>
      <c r="E778" t="s">
        <v>55</v>
      </c>
      <c r="F778">
        <v>23</v>
      </c>
      <c r="G778">
        <v>1996</v>
      </c>
      <c r="H778">
        <v>19</v>
      </c>
      <c r="I778">
        <v>13</v>
      </c>
      <c r="J778">
        <v>1248</v>
      </c>
      <c r="K778">
        <v>5</v>
      </c>
      <c r="L778">
        <v>3</v>
      </c>
      <c r="M778">
        <v>4</v>
      </c>
      <c r="N778">
        <v>1</v>
      </c>
      <c r="O778">
        <v>2</v>
      </c>
      <c r="P778">
        <v>0</v>
      </c>
      <c r="Q778">
        <v>0</v>
      </c>
      <c r="R778">
        <f t="shared" si="24"/>
        <v>4.4515669515669511E-5</v>
      </c>
      <c r="S778" t="s">
        <v>424</v>
      </c>
      <c r="T778">
        <v>32</v>
      </c>
      <c r="U778" t="str">
        <f t="shared" si="25"/>
        <v>Lucy Graham:3</v>
      </c>
    </row>
    <row r="779" spans="1:21" x14ac:dyDescent="0.2">
      <c r="A779" t="s">
        <v>399</v>
      </c>
      <c r="B779" t="s">
        <v>632</v>
      </c>
      <c r="C779" t="s">
        <v>633</v>
      </c>
      <c r="D779" t="s">
        <v>42</v>
      </c>
      <c r="E779" t="s">
        <v>30</v>
      </c>
      <c r="F779">
        <v>26</v>
      </c>
      <c r="G779">
        <v>1993</v>
      </c>
      <c r="H779">
        <v>19</v>
      </c>
      <c r="I779">
        <v>5</v>
      </c>
      <c r="J779">
        <v>585</v>
      </c>
      <c r="K779">
        <v>1</v>
      </c>
      <c r="L779">
        <v>0</v>
      </c>
      <c r="M779">
        <v>1</v>
      </c>
      <c r="N779">
        <v>0</v>
      </c>
      <c r="O779">
        <v>0</v>
      </c>
      <c r="P779">
        <v>0</v>
      </c>
      <c r="Q779">
        <v>0</v>
      </c>
      <c r="R779">
        <f t="shared" si="24"/>
        <v>1.8993352326685662E-5</v>
      </c>
      <c r="S779" t="s">
        <v>424</v>
      </c>
      <c r="T779">
        <v>20</v>
      </c>
      <c r="U779" t="str">
        <f t="shared" si="25"/>
        <v>Lucy Quinn:0</v>
      </c>
    </row>
    <row r="780" spans="1:21" x14ac:dyDescent="0.2">
      <c r="A780" t="s">
        <v>287</v>
      </c>
      <c r="B780" t="s">
        <v>606</v>
      </c>
      <c r="C780" t="s">
        <v>607</v>
      </c>
      <c r="D780" t="s">
        <v>23</v>
      </c>
      <c r="E780" t="s">
        <v>52</v>
      </c>
      <c r="F780">
        <v>27</v>
      </c>
      <c r="G780">
        <v>1992</v>
      </c>
      <c r="H780">
        <v>14</v>
      </c>
      <c r="I780">
        <v>6</v>
      </c>
      <c r="J780">
        <v>670</v>
      </c>
      <c r="K780">
        <v>0</v>
      </c>
      <c r="L780">
        <v>2</v>
      </c>
      <c r="M780">
        <v>0</v>
      </c>
      <c r="N780">
        <v>0</v>
      </c>
      <c r="O780">
        <v>0</v>
      </c>
      <c r="P780">
        <v>2</v>
      </c>
      <c r="Q780">
        <v>0</v>
      </c>
      <c r="R780">
        <f t="shared" si="24"/>
        <v>0</v>
      </c>
      <c r="S780" t="s">
        <v>424</v>
      </c>
      <c r="T780">
        <v>47</v>
      </c>
      <c r="U780" t="str">
        <f t="shared" si="25"/>
        <v>Lucy Staniforth:2</v>
      </c>
    </row>
    <row r="781" spans="1:21" x14ac:dyDescent="0.2">
      <c r="A781" t="s">
        <v>419</v>
      </c>
      <c r="B781" t="s">
        <v>606</v>
      </c>
      <c r="C781" t="s">
        <v>607</v>
      </c>
      <c r="D781" t="s">
        <v>34</v>
      </c>
      <c r="E781" t="s">
        <v>360</v>
      </c>
      <c r="F781">
        <v>24</v>
      </c>
      <c r="G781">
        <v>1995</v>
      </c>
      <c r="H781">
        <v>20</v>
      </c>
      <c r="I781">
        <v>12</v>
      </c>
      <c r="J781">
        <v>1248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1</v>
      </c>
      <c r="Q781">
        <v>0</v>
      </c>
      <c r="R781">
        <f t="shared" si="24"/>
        <v>0</v>
      </c>
      <c r="S781" t="s">
        <v>424</v>
      </c>
      <c r="T781">
        <v>14</v>
      </c>
      <c r="U781" t="str">
        <f t="shared" si="25"/>
        <v>Lucy Whipp:0</v>
      </c>
    </row>
    <row r="782" spans="1:21" x14ac:dyDescent="0.2">
      <c r="A782" t="s">
        <v>327</v>
      </c>
      <c r="B782" t="s">
        <v>612</v>
      </c>
      <c r="C782" t="s">
        <v>613</v>
      </c>
      <c r="D782" t="s">
        <v>40</v>
      </c>
      <c r="E782" t="s">
        <v>27</v>
      </c>
      <c r="F782">
        <v>32</v>
      </c>
      <c r="G782">
        <v>1988</v>
      </c>
      <c r="H782">
        <v>9</v>
      </c>
      <c r="I782">
        <v>9</v>
      </c>
      <c r="J782">
        <v>810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f t="shared" si="24"/>
        <v>0</v>
      </c>
      <c r="S782" t="s">
        <v>424</v>
      </c>
      <c r="T782">
        <v>48</v>
      </c>
      <c r="U782" t="str">
        <f t="shared" si="25"/>
        <v>Lydia Williams:0</v>
      </c>
    </row>
    <row r="783" spans="1:21" x14ac:dyDescent="0.2">
      <c r="A783" t="s">
        <v>39</v>
      </c>
      <c r="B783" t="s">
        <v>612</v>
      </c>
      <c r="C783" t="s">
        <v>613</v>
      </c>
      <c r="D783" t="s">
        <v>40</v>
      </c>
      <c r="E783" t="s">
        <v>24</v>
      </c>
      <c r="F783">
        <v>26</v>
      </c>
      <c r="G783">
        <v>1994</v>
      </c>
      <c r="H783">
        <v>16</v>
      </c>
      <c r="I783">
        <v>16</v>
      </c>
      <c r="J783">
        <v>1440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f t="shared" si="24"/>
        <v>0</v>
      </c>
      <c r="S783" t="s">
        <v>424</v>
      </c>
      <c r="T783">
        <v>15</v>
      </c>
      <c r="U783" t="str">
        <f t="shared" si="25"/>
        <v>Mackenzie Arnold:0</v>
      </c>
    </row>
    <row r="784" spans="1:21" x14ac:dyDescent="0.2">
      <c r="A784" t="s">
        <v>357</v>
      </c>
      <c r="B784" t="s">
        <v>610</v>
      </c>
      <c r="C784" t="s">
        <v>611</v>
      </c>
      <c r="D784" t="s">
        <v>34</v>
      </c>
      <c r="E784" t="s">
        <v>55</v>
      </c>
      <c r="F784">
        <v>27</v>
      </c>
      <c r="G784">
        <v>1992</v>
      </c>
      <c r="H784">
        <v>9</v>
      </c>
      <c r="I784">
        <v>6</v>
      </c>
      <c r="J784">
        <v>544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3</v>
      </c>
      <c r="Q784">
        <v>0</v>
      </c>
      <c r="R784">
        <f t="shared" si="24"/>
        <v>0</v>
      </c>
      <c r="S784" t="s">
        <v>424</v>
      </c>
      <c r="T784">
        <v>32</v>
      </c>
      <c r="U784" t="str">
        <f t="shared" si="25"/>
        <v>Maéva Clemaron:0</v>
      </c>
    </row>
    <row r="785" spans="1:21" x14ac:dyDescent="0.2">
      <c r="A785" t="s">
        <v>112</v>
      </c>
      <c r="B785" t="s">
        <v>658</v>
      </c>
      <c r="C785" t="s">
        <v>659</v>
      </c>
      <c r="D785" t="s">
        <v>50</v>
      </c>
      <c r="E785" t="s">
        <v>20</v>
      </c>
      <c r="F785">
        <v>26</v>
      </c>
      <c r="G785">
        <v>1993</v>
      </c>
      <c r="H785">
        <v>20</v>
      </c>
      <c r="I785">
        <v>19</v>
      </c>
      <c r="J785">
        <v>1715</v>
      </c>
      <c r="K785">
        <v>1</v>
      </c>
      <c r="L785">
        <v>0</v>
      </c>
      <c r="M785">
        <v>1</v>
      </c>
      <c r="N785">
        <v>0</v>
      </c>
      <c r="O785">
        <v>0</v>
      </c>
      <c r="P785">
        <v>0</v>
      </c>
      <c r="Q785">
        <v>0</v>
      </c>
      <c r="R785">
        <f t="shared" si="24"/>
        <v>6.4787819889860709E-6</v>
      </c>
      <c r="S785" t="s">
        <v>424</v>
      </c>
      <c r="T785">
        <v>57</v>
      </c>
      <c r="U785" t="str">
        <f t="shared" si="25"/>
        <v>Magdalena Eriksson:0</v>
      </c>
    </row>
    <row r="786" spans="1:21" x14ac:dyDescent="0.2">
      <c r="A786" t="s">
        <v>429</v>
      </c>
      <c r="B786" t="s">
        <v>606</v>
      </c>
      <c r="C786" t="s">
        <v>607</v>
      </c>
      <c r="D786" t="s">
        <v>34</v>
      </c>
      <c r="E786" t="s">
        <v>24</v>
      </c>
      <c r="F786">
        <v>18</v>
      </c>
      <c r="G786">
        <v>2002</v>
      </c>
      <c r="H786">
        <v>3</v>
      </c>
      <c r="I786">
        <v>1</v>
      </c>
      <c r="J786">
        <v>94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f t="shared" si="24"/>
        <v>0</v>
      </c>
      <c r="S786" t="s">
        <v>424</v>
      </c>
      <c r="T786">
        <v>15</v>
      </c>
      <c r="U786" t="str">
        <f t="shared" si="25"/>
        <v>Maisey Barker:0</v>
      </c>
    </row>
    <row r="787" spans="1:21" x14ac:dyDescent="0.2">
      <c r="A787" t="s">
        <v>296</v>
      </c>
      <c r="B787" t="s">
        <v>606</v>
      </c>
      <c r="C787" t="s">
        <v>607</v>
      </c>
      <c r="D787" t="s">
        <v>23</v>
      </c>
      <c r="E787" t="s">
        <v>48</v>
      </c>
      <c r="F787">
        <v>17</v>
      </c>
      <c r="G787">
        <v>2003</v>
      </c>
      <c r="H787">
        <v>2</v>
      </c>
      <c r="I787">
        <v>0</v>
      </c>
      <c r="J787">
        <v>28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f t="shared" si="24"/>
        <v>0</v>
      </c>
      <c r="S787" t="s">
        <v>424</v>
      </c>
      <c r="T787">
        <v>27</v>
      </c>
      <c r="U787" t="str">
        <f t="shared" si="25"/>
        <v>Maisie Symonds:0</v>
      </c>
    </row>
    <row r="788" spans="1:21" x14ac:dyDescent="0.2">
      <c r="A788" t="s">
        <v>447</v>
      </c>
      <c r="B788" t="s">
        <v>614</v>
      </c>
      <c r="C788" t="s">
        <v>615</v>
      </c>
      <c r="D788" t="s">
        <v>34</v>
      </c>
      <c r="E788" t="s">
        <v>27</v>
      </c>
      <c r="F788">
        <v>19</v>
      </c>
      <c r="G788">
        <v>2000</v>
      </c>
      <c r="H788">
        <v>16</v>
      </c>
      <c r="I788">
        <v>7</v>
      </c>
      <c r="J788">
        <v>671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f t="shared" si="24"/>
        <v>0</v>
      </c>
      <c r="S788" t="s">
        <v>424</v>
      </c>
      <c r="T788">
        <v>48</v>
      </c>
      <c r="U788" t="str">
        <f t="shared" si="25"/>
        <v>Malin Gut:0</v>
      </c>
    </row>
    <row r="789" spans="1:21" x14ac:dyDescent="0.2">
      <c r="A789" t="s">
        <v>168</v>
      </c>
      <c r="B789" t="s">
        <v>660</v>
      </c>
      <c r="C789" t="s">
        <v>661</v>
      </c>
      <c r="D789" t="s">
        <v>23</v>
      </c>
      <c r="E789" t="s">
        <v>37</v>
      </c>
      <c r="F789">
        <v>27</v>
      </c>
      <c r="G789">
        <v>1993</v>
      </c>
      <c r="H789">
        <v>13</v>
      </c>
      <c r="I789">
        <v>11</v>
      </c>
      <c r="J789">
        <v>981</v>
      </c>
      <c r="K789">
        <v>2</v>
      </c>
      <c r="L789">
        <v>1</v>
      </c>
      <c r="M789">
        <v>2</v>
      </c>
      <c r="N789">
        <v>0</v>
      </c>
      <c r="O789">
        <v>0</v>
      </c>
      <c r="P789">
        <v>1</v>
      </c>
      <c r="Q789">
        <v>0</v>
      </c>
      <c r="R789">
        <f t="shared" si="24"/>
        <v>2.2652622041001247E-5</v>
      </c>
      <c r="S789" t="s">
        <v>424</v>
      </c>
      <c r="T789">
        <v>15</v>
      </c>
      <c r="U789" t="str">
        <f t="shared" si="25"/>
        <v>Mana Iwabuchi:1</v>
      </c>
    </row>
    <row r="790" spans="1:21" x14ac:dyDescent="0.2">
      <c r="A790" t="s">
        <v>337</v>
      </c>
      <c r="B790" t="s">
        <v>668</v>
      </c>
      <c r="C790" t="s">
        <v>669</v>
      </c>
      <c r="D790" t="s">
        <v>40</v>
      </c>
      <c r="E790" t="s">
        <v>27</v>
      </c>
      <c r="F790">
        <v>24</v>
      </c>
      <c r="G790">
        <v>1995</v>
      </c>
      <c r="H790">
        <v>13</v>
      </c>
      <c r="I790">
        <v>13</v>
      </c>
      <c r="J790">
        <v>1170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f t="shared" si="24"/>
        <v>0</v>
      </c>
      <c r="S790" t="s">
        <v>424</v>
      </c>
      <c r="T790">
        <v>48</v>
      </c>
      <c r="U790" t="str">
        <f t="shared" si="25"/>
        <v>Manuela Zinsberger:0</v>
      </c>
    </row>
    <row r="791" spans="1:21" x14ac:dyDescent="0.2">
      <c r="A791" t="s">
        <v>219</v>
      </c>
      <c r="B791" t="s">
        <v>618</v>
      </c>
      <c r="C791" t="s">
        <v>619</v>
      </c>
      <c r="D791" t="s">
        <v>50</v>
      </c>
      <c r="E791" t="s">
        <v>20</v>
      </c>
      <c r="F791">
        <v>30</v>
      </c>
      <c r="G791">
        <v>1989</v>
      </c>
      <c r="H791">
        <v>15</v>
      </c>
      <c r="I791">
        <v>14</v>
      </c>
      <c r="J791">
        <v>1214</v>
      </c>
      <c r="K791">
        <v>2</v>
      </c>
      <c r="L791">
        <v>1</v>
      </c>
      <c r="M791">
        <v>0</v>
      </c>
      <c r="N791">
        <v>2</v>
      </c>
      <c r="O791">
        <v>2</v>
      </c>
      <c r="P791">
        <v>1</v>
      </c>
      <c r="Q791">
        <v>0</v>
      </c>
      <c r="R791">
        <f t="shared" si="24"/>
        <v>1.8304960644334614E-5</v>
      </c>
      <c r="S791" t="s">
        <v>424</v>
      </c>
      <c r="T791">
        <v>57</v>
      </c>
      <c r="U791" t="str">
        <f t="shared" si="25"/>
        <v>Maren Mjelde:1</v>
      </c>
    </row>
    <row r="792" spans="1:21" x14ac:dyDescent="0.2">
      <c r="A792" t="s">
        <v>303</v>
      </c>
      <c r="B792" t="s">
        <v>618</v>
      </c>
      <c r="C792" t="s">
        <v>619</v>
      </c>
      <c r="D792" t="s">
        <v>50</v>
      </c>
      <c r="E792" t="s">
        <v>52</v>
      </c>
      <c r="F792">
        <v>27</v>
      </c>
      <c r="G792">
        <v>1993</v>
      </c>
      <c r="H792">
        <v>6</v>
      </c>
      <c r="I792">
        <v>4</v>
      </c>
      <c r="J792">
        <v>379</v>
      </c>
      <c r="K792">
        <v>0</v>
      </c>
      <c r="L792">
        <v>1</v>
      </c>
      <c r="M792">
        <v>0</v>
      </c>
      <c r="N792">
        <v>0</v>
      </c>
      <c r="O792">
        <v>0</v>
      </c>
      <c r="P792">
        <v>1</v>
      </c>
      <c r="Q792">
        <v>0</v>
      </c>
      <c r="R792">
        <f t="shared" si="24"/>
        <v>0</v>
      </c>
      <c r="S792" t="s">
        <v>424</v>
      </c>
      <c r="T792">
        <v>47</v>
      </c>
      <c r="U792" t="str">
        <f t="shared" si="25"/>
        <v>Maria Thorisdottir:1</v>
      </c>
    </row>
    <row r="793" spans="1:21" x14ac:dyDescent="0.2">
      <c r="A793" t="s">
        <v>303</v>
      </c>
      <c r="B793" t="s">
        <v>618</v>
      </c>
      <c r="C793" t="s">
        <v>619</v>
      </c>
      <c r="D793" t="s">
        <v>50</v>
      </c>
      <c r="E793" t="s">
        <v>20</v>
      </c>
      <c r="F793">
        <v>27</v>
      </c>
      <c r="G793">
        <v>1993</v>
      </c>
      <c r="H793">
        <v>2</v>
      </c>
      <c r="I793">
        <v>1</v>
      </c>
      <c r="J793">
        <v>81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f t="shared" si="24"/>
        <v>0</v>
      </c>
      <c r="S793" t="s">
        <v>424</v>
      </c>
      <c r="T793">
        <v>57</v>
      </c>
      <c r="U793" t="str">
        <f t="shared" si="25"/>
        <v>Maria Thorisdottir:0</v>
      </c>
    </row>
    <row r="794" spans="1:21" x14ac:dyDescent="0.2">
      <c r="A794" t="s">
        <v>366</v>
      </c>
      <c r="B794" t="s">
        <v>630</v>
      </c>
      <c r="C794" t="s">
        <v>631</v>
      </c>
      <c r="D794" t="s">
        <v>94</v>
      </c>
      <c r="E794" t="s">
        <v>37</v>
      </c>
      <c r="F794">
        <v>31</v>
      </c>
      <c r="G794">
        <v>1989</v>
      </c>
      <c r="H794">
        <v>19</v>
      </c>
      <c r="I794">
        <v>16</v>
      </c>
      <c r="J794">
        <v>1303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f t="shared" si="24"/>
        <v>0</v>
      </c>
      <c r="S794" t="s">
        <v>424</v>
      </c>
      <c r="T794">
        <v>15</v>
      </c>
      <c r="U794" t="str">
        <f t="shared" si="25"/>
        <v>Marisa Ewers:0</v>
      </c>
    </row>
    <row r="795" spans="1:21" x14ac:dyDescent="0.2">
      <c r="A795" t="s">
        <v>377</v>
      </c>
      <c r="B795" t="s">
        <v>606</v>
      </c>
      <c r="C795" t="s">
        <v>607</v>
      </c>
      <c r="D795" t="s">
        <v>50</v>
      </c>
      <c r="E795" t="s">
        <v>52</v>
      </c>
      <c r="F795">
        <v>25</v>
      </c>
      <c r="G795">
        <v>1994</v>
      </c>
      <c r="H795">
        <v>7</v>
      </c>
      <c r="I795">
        <v>4</v>
      </c>
      <c r="J795">
        <v>355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1</v>
      </c>
      <c r="Q795">
        <v>0</v>
      </c>
      <c r="R795">
        <f t="shared" si="24"/>
        <v>0</v>
      </c>
      <c r="S795" t="s">
        <v>424</v>
      </c>
      <c r="T795">
        <v>47</v>
      </c>
      <c r="U795" t="str">
        <f t="shared" si="25"/>
        <v>Martha Harris:0</v>
      </c>
    </row>
    <row r="796" spans="1:21" x14ac:dyDescent="0.2">
      <c r="A796" t="s">
        <v>302</v>
      </c>
      <c r="B796" t="s">
        <v>652</v>
      </c>
      <c r="C796" t="s">
        <v>653</v>
      </c>
      <c r="D796" t="s">
        <v>26</v>
      </c>
      <c r="E796" t="s">
        <v>24</v>
      </c>
      <c r="F796">
        <v>24</v>
      </c>
      <c r="G796">
        <v>1996</v>
      </c>
      <c r="H796">
        <v>16</v>
      </c>
      <c r="I796">
        <v>14</v>
      </c>
      <c r="J796">
        <v>1235</v>
      </c>
      <c r="K796">
        <v>4</v>
      </c>
      <c r="L796">
        <v>1</v>
      </c>
      <c r="M796">
        <v>4</v>
      </c>
      <c r="N796">
        <v>0</v>
      </c>
      <c r="O796">
        <v>0</v>
      </c>
      <c r="P796">
        <v>1</v>
      </c>
      <c r="Q796">
        <v>0</v>
      </c>
      <c r="R796">
        <f t="shared" si="24"/>
        <v>3.5987404408457039E-5</v>
      </c>
      <c r="S796" t="s">
        <v>424</v>
      </c>
      <c r="T796">
        <v>15</v>
      </c>
      <c r="U796" t="str">
        <f t="shared" si="25"/>
        <v>Martha Thomas:1</v>
      </c>
    </row>
    <row r="797" spans="1:21" x14ac:dyDescent="0.2">
      <c r="A797" t="s">
        <v>108</v>
      </c>
      <c r="B797" t="s">
        <v>606</v>
      </c>
      <c r="C797" t="s">
        <v>607</v>
      </c>
      <c r="D797" t="s">
        <v>40</v>
      </c>
      <c r="E797" t="s">
        <v>52</v>
      </c>
      <c r="F797">
        <v>27</v>
      </c>
      <c r="G797">
        <v>1993</v>
      </c>
      <c r="H797">
        <v>22</v>
      </c>
      <c r="I797">
        <v>22</v>
      </c>
      <c r="J797">
        <v>1980</v>
      </c>
      <c r="K797">
        <v>0</v>
      </c>
      <c r="L797">
        <v>1</v>
      </c>
      <c r="M797">
        <v>0</v>
      </c>
      <c r="N797">
        <v>0</v>
      </c>
      <c r="O797">
        <v>0</v>
      </c>
      <c r="P797">
        <v>0</v>
      </c>
      <c r="Q797">
        <v>0</v>
      </c>
      <c r="R797">
        <f t="shared" si="24"/>
        <v>0</v>
      </c>
      <c r="S797" t="s">
        <v>424</v>
      </c>
      <c r="T797">
        <v>47</v>
      </c>
      <c r="U797" t="str">
        <f t="shared" si="25"/>
        <v>Mary Earps:1</v>
      </c>
    </row>
    <row r="798" spans="1:21" x14ac:dyDescent="0.2">
      <c r="A798" t="s">
        <v>192</v>
      </c>
      <c r="B798" t="s">
        <v>606</v>
      </c>
      <c r="C798" t="s">
        <v>607</v>
      </c>
      <c r="D798" t="s">
        <v>50</v>
      </c>
      <c r="E798" t="s">
        <v>48</v>
      </c>
      <c r="F798">
        <v>18</v>
      </c>
      <c r="G798">
        <v>2002</v>
      </c>
      <c r="H798">
        <v>22</v>
      </c>
      <c r="I798">
        <v>22</v>
      </c>
      <c r="J798">
        <v>1977</v>
      </c>
      <c r="K798">
        <v>1</v>
      </c>
      <c r="L798">
        <v>0</v>
      </c>
      <c r="M798">
        <v>1</v>
      </c>
      <c r="N798">
        <v>0</v>
      </c>
      <c r="O798">
        <v>0</v>
      </c>
      <c r="P798">
        <v>3</v>
      </c>
      <c r="Q798">
        <v>0</v>
      </c>
      <c r="R798">
        <f t="shared" si="24"/>
        <v>5.6201877142696564E-6</v>
      </c>
      <c r="S798" t="s">
        <v>424</v>
      </c>
      <c r="T798">
        <v>27</v>
      </c>
      <c r="U798" t="str">
        <f t="shared" si="25"/>
        <v>Maya Le Tissier:0</v>
      </c>
    </row>
    <row r="799" spans="1:21" x14ac:dyDescent="0.2">
      <c r="A799" t="s">
        <v>235</v>
      </c>
      <c r="B799" t="s">
        <v>606</v>
      </c>
      <c r="C799" t="s">
        <v>607</v>
      </c>
      <c r="D799" t="s">
        <v>50</v>
      </c>
      <c r="E799" t="s">
        <v>24</v>
      </c>
      <c r="F799">
        <v>21</v>
      </c>
      <c r="G799">
        <v>1998</v>
      </c>
      <c r="H799">
        <v>17</v>
      </c>
      <c r="I799">
        <v>11</v>
      </c>
      <c r="J799">
        <v>1068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2</v>
      </c>
      <c r="Q799">
        <v>0</v>
      </c>
      <c r="R799">
        <f t="shared" si="24"/>
        <v>0</v>
      </c>
      <c r="S799" t="s">
        <v>424</v>
      </c>
      <c r="T799">
        <v>15</v>
      </c>
      <c r="U799" t="str">
        <f t="shared" si="25"/>
        <v>Mayumi Pacheco:0</v>
      </c>
    </row>
    <row r="800" spans="1:21" x14ac:dyDescent="0.2">
      <c r="A800" t="s">
        <v>405</v>
      </c>
      <c r="B800" t="s">
        <v>606</v>
      </c>
      <c r="C800" t="s">
        <v>607</v>
      </c>
      <c r="D800" t="s">
        <v>50</v>
      </c>
      <c r="E800" t="s">
        <v>426</v>
      </c>
      <c r="F800">
        <v>26</v>
      </c>
      <c r="G800">
        <v>1994</v>
      </c>
      <c r="H800">
        <v>3</v>
      </c>
      <c r="I800">
        <v>3</v>
      </c>
      <c r="J800">
        <v>249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f t="shared" si="24"/>
        <v>0</v>
      </c>
      <c r="S800" t="s">
        <v>424</v>
      </c>
      <c r="T800">
        <v>12</v>
      </c>
      <c r="U800" t="str">
        <f t="shared" si="25"/>
        <v>Meaghan Sargeant:0</v>
      </c>
    </row>
    <row r="801" spans="1:21" x14ac:dyDescent="0.2">
      <c r="A801" t="s">
        <v>93</v>
      </c>
      <c r="B801" t="s">
        <v>632</v>
      </c>
      <c r="C801" t="s">
        <v>633</v>
      </c>
      <c r="D801" t="s">
        <v>94</v>
      </c>
      <c r="E801" t="s">
        <v>48</v>
      </c>
      <c r="F801">
        <v>23</v>
      </c>
      <c r="G801">
        <v>1997</v>
      </c>
      <c r="H801">
        <v>15</v>
      </c>
      <c r="I801">
        <v>14</v>
      </c>
      <c r="J801">
        <v>1233</v>
      </c>
      <c r="K801">
        <v>2</v>
      </c>
      <c r="L801">
        <v>2</v>
      </c>
      <c r="M801">
        <v>2</v>
      </c>
      <c r="N801">
        <v>0</v>
      </c>
      <c r="O801">
        <v>0</v>
      </c>
      <c r="P801">
        <v>2</v>
      </c>
      <c r="Q801">
        <v>0</v>
      </c>
      <c r="R801">
        <f t="shared" si="24"/>
        <v>1.802288906911778E-5</v>
      </c>
      <c r="S801" t="s">
        <v>424</v>
      </c>
      <c r="T801">
        <v>27</v>
      </c>
      <c r="U801" t="str">
        <f t="shared" si="25"/>
        <v>Megan Connolly:2</v>
      </c>
    </row>
    <row r="802" spans="1:21" x14ac:dyDescent="0.2">
      <c r="A802" t="s">
        <v>118</v>
      </c>
      <c r="B802" t="s">
        <v>606</v>
      </c>
      <c r="C802" t="s">
        <v>607</v>
      </c>
      <c r="D802" t="s">
        <v>50</v>
      </c>
      <c r="E802" t="s">
        <v>55</v>
      </c>
      <c r="F802">
        <v>22</v>
      </c>
      <c r="G802">
        <v>1998</v>
      </c>
      <c r="H802">
        <v>22</v>
      </c>
      <c r="I802">
        <v>22</v>
      </c>
      <c r="J802">
        <v>1935</v>
      </c>
      <c r="K802">
        <v>2</v>
      </c>
      <c r="L802">
        <v>1</v>
      </c>
      <c r="M802">
        <v>2</v>
      </c>
      <c r="N802">
        <v>0</v>
      </c>
      <c r="O802">
        <v>0</v>
      </c>
      <c r="P802">
        <v>4</v>
      </c>
      <c r="Q802">
        <v>0</v>
      </c>
      <c r="R802">
        <f t="shared" si="24"/>
        <v>1.1484352569623887E-5</v>
      </c>
      <c r="S802" t="s">
        <v>424</v>
      </c>
      <c r="T802">
        <v>32</v>
      </c>
      <c r="U802" t="str">
        <f t="shared" si="25"/>
        <v>Megan Finnigan:1</v>
      </c>
    </row>
    <row r="803" spans="1:21" x14ac:dyDescent="0.2">
      <c r="A803" t="s">
        <v>319</v>
      </c>
      <c r="B803" t="s">
        <v>632</v>
      </c>
      <c r="C803" t="s">
        <v>633</v>
      </c>
      <c r="D803" t="s">
        <v>40</v>
      </c>
      <c r="E803" t="s">
        <v>48</v>
      </c>
      <c r="F803">
        <v>25</v>
      </c>
      <c r="G803">
        <v>1994</v>
      </c>
      <c r="H803">
        <v>15</v>
      </c>
      <c r="I803">
        <v>15</v>
      </c>
      <c r="J803">
        <v>1350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f t="shared" si="24"/>
        <v>0</v>
      </c>
      <c r="S803" t="s">
        <v>424</v>
      </c>
      <c r="T803">
        <v>27</v>
      </c>
      <c r="U803" t="str">
        <f t="shared" si="25"/>
        <v>Megan Walsh:0</v>
      </c>
    </row>
    <row r="804" spans="1:21" x14ac:dyDescent="0.2">
      <c r="A804" t="s">
        <v>197</v>
      </c>
      <c r="B804" t="s">
        <v>630</v>
      </c>
      <c r="C804" t="s">
        <v>631</v>
      </c>
      <c r="D804" t="s">
        <v>34</v>
      </c>
      <c r="E804" t="s">
        <v>20</v>
      </c>
      <c r="F804">
        <v>26</v>
      </c>
      <c r="G804">
        <v>1994</v>
      </c>
      <c r="H804">
        <v>19</v>
      </c>
      <c r="I804">
        <v>17</v>
      </c>
      <c r="J804">
        <v>1427</v>
      </c>
      <c r="K804">
        <v>5</v>
      </c>
      <c r="L804">
        <v>1</v>
      </c>
      <c r="M804">
        <v>4</v>
      </c>
      <c r="N804">
        <v>1</v>
      </c>
      <c r="O804">
        <v>2</v>
      </c>
      <c r="P804">
        <v>2</v>
      </c>
      <c r="Q804">
        <v>0</v>
      </c>
      <c r="R804">
        <f t="shared" si="24"/>
        <v>3.8931713774040331E-5</v>
      </c>
      <c r="S804" t="s">
        <v>424</v>
      </c>
      <c r="T804">
        <v>57</v>
      </c>
      <c r="U804" t="str">
        <f t="shared" si="25"/>
        <v>Melanie Leupolz:1</v>
      </c>
    </row>
    <row r="805" spans="1:21" x14ac:dyDescent="0.2">
      <c r="A805" t="s">
        <v>70</v>
      </c>
      <c r="B805" t="s">
        <v>606</v>
      </c>
      <c r="C805" t="s">
        <v>607</v>
      </c>
      <c r="D805" t="s">
        <v>50</v>
      </c>
      <c r="E805" t="s">
        <v>20</v>
      </c>
      <c r="F805">
        <v>26</v>
      </c>
      <c r="G805">
        <v>1993</v>
      </c>
      <c r="H805">
        <v>21</v>
      </c>
      <c r="I805">
        <v>20</v>
      </c>
      <c r="J805">
        <v>1819</v>
      </c>
      <c r="K805">
        <v>1</v>
      </c>
      <c r="L805">
        <v>1</v>
      </c>
      <c r="M805">
        <v>1</v>
      </c>
      <c r="N805">
        <v>0</v>
      </c>
      <c r="O805">
        <v>0</v>
      </c>
      <c r="P805">
        <v>3</v>
      </c>
      <c r="Q805">
        <v>0</v>
      </c>
      <c r="R805">
        <f t="shared" si="24"/>
        <v>6.1083623480544871E-6</v>
      </c>
      <c r="S805" t="s">
        <v>424</v>
      </c>
      <c r="T805">
        <v>57</v>
      </c>
      <c r="U805" t="str">
        <f t="shared" si="25"/>
        <v>Millie Bright:1</v>
      </c>
    </row>
    <row r="806" spans="1:21" x14ac:dyDescent="0.2">
      <c r="A806" t="s">
        <v>434</v>
      </c>
      <c r="D806" t="s">
        <v>248</v>
      </c>
      <c r="E806" t="s">
        <v>32</v>
      </c>
      <c r="F806">
        <v>17</v>
      </c>
      <c r="G806">
        <v>2003</v>
      </c>
      <c r="H806">
        <v>4</v>
      </c>
      <c r="I806">
        <v>0</v>
      </c>
      <c r="J806">
        <v>47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f t="shared" si="24"/>
        <v>0</v>
      </c>
      <c r="S806" t="s">
        <v>424</v>
      </c>
      <c r="T806">
        <v>55</v>
      </c>
      <c r="U806" t="str">
        <f t="shared" si="25"/>
        <v>Millie Davies:0</v>
      </c>
    </row>
    <row r="807" spans="1:21" x14ac:dyDescent="0.2">
      <c r="A807" t="s">
        <v>310</v>
      </c>
      <c r="B807" t="s">
        <v>606</v>
      </c>
      <c r="C807" t="s">
        <v>607</v>
      </c>
      <c r="D807" t="s">
        <v>50</v>
      </c>
      <c r="E807" t="s">
        <v>52</v>
      </c>
      <c r="F807">
        <v>24</v>
      </c>
      <c r="G807">
        <v>1996</v>
      </c>
      <c r="H807">
        <v>22</v>
      </c>
      <c r="I807">
        <v>22</v>
      </c>
      <c r="J807">
        <v>1980</v>
      </c>
      <c r="K807">
        <v>2</v>
      </c>
      <c r="L807">
        <v>0</v>
      </c>
      <c r="M807">
        <v>2</v>
      </c>
      <c r="N807">
        <v>0</v>
      </c>
      <c r="O807">
        <v>0</v>
      </c>
      <c r="P807">
        <v>1</v>
      </c>
      <c r="Q807">
        <v>0</v>
      </c>
      <c r="R807">
        <f t="shared" si="24"/>
        <v>1.122334455667789E-5</v>
      </c>
      <c r="S807" t="s">
        <v>424</v>
      </c>
      <c r="T807">
        <v>47</v>
      </c>
      <c r="U807" t="str">
        <f t="shared" si="25"/>
        <v>Millie Turner:0</v>
      </c>
    </row>
    <row r="808" spans="1:21" x14ac:dyDescent="0.2">
      <c r="A808" t="s">
        <v>446</v>
      </c>
      <c r="B808" t="s">
        <v>606</v>
      </c>
      <c r="C808" t="s">
        <v>607</v>
      </c>
      <c r="D808" t="s">
        <v>34</v>
      </c>
      <c r="E808" t="s">
        <v>360</v>
      </c>
      <c r="F808">
        <v>22</v>
      </c>
      <c r="G808">
        <v>1997</v>
      </c>
      <c r="H808">
        <v>17</v>
      </c>
      <c r="I808">
        <v>11</v>
      </c>
      <c r="J808">
        <v>956</v>
      </c>
      <c r="K808">
        <v>1</v>
      </c>
      <c r="L808">
        <v>1</v>
      </c>
      <c r="M808">
        <v>1</v>
      </c>
      <c r="N808">
        <v>0</v>
      </c>
      <c r="O808">
        <v>0</v>
      </c>
      <c r="P808">
        <v>0</v>
      </c>
      <c r="Q808">
        <v>0</v>
      </c>
      <c r="R808">
        <f t="shared" si="24"/>
        <v>1.1622501162250115E-5</v>
      </c>
      <c r="S808" t="s">
        <v>424</v>
      </c>
      <c r="T808">
        <v>14</v>
      </c>
      <c r="U808" t="str">
        <f t="shared" si="25"/>
        <v>Mollie Green:1</v>
      </c>
    </row>
    <row r="809" spans="1:21" x14ac:dyDescent="0.2">
      <c r="A809" t="s">
        <v>49</v>
      </c>
      <c r="B809" t="s">
        <v>606</v>
      </c>
      <c r="C809" t="s">
        <v>607</v>
      </c>
      <c r="D809" t="s">
        <v>50</v>
      </c>
      <c r="E809" t="s">
        <v>35</v>
      </c>
      <c r="F809">
        <v>24</v>
      </c>
      <c r="G809">
        <v>1996</v>
      </c>
      <c r="H809">
        <v>21</v>
      </c>
      <c r="I809">
        <v>20</v>
      </c>
      <c r="J809">
        <v>1817</v>
      </c>
      <c r="K809">
        <v>0</v>
      </c>
      <c r="L809">
        <v>1</v>
      </c>
      <c r="M809">
        <v>0</v>
      </c>
      <c r="N809">
        <v>0</v>
      </c>
      <c r="O809">
        <v>0</v>
      </c>
      <c r="P809">
        <v>6</v>
      </c>
      <c r="Q809">
        <v>0</v>
      </c>
      <c r="R809">
        <f t="shared" si="24"/>
        <v>0</v>
      </c>
      <c r="S809" t="s">
        <v>424</v>
      </c>
      <c r="T809">
        <v>24</v>
      </c>
      <c r="U809" t="str">
        <f t="shared" si="25"/>
        <v>Molly Bartrip:1</v>
      </c>
    </row>
    <row r="810" spans="1:21" x14ac:dyDescent="0.2">
      <c r="A810" t="s">
        <v>249</v>
      </c>
      <c r="B810" t="s">
        <v>606</v>
      </c>
      <c r="C810" t="s">
        <v>607</v>
      </c>
      <c r="D810" t="s">
        <v>34</v>
      </c>
      <c r="E810" t="s">
        <v>426</v>
      </c>
      <c r="F810">
        <v>19</v>
      </c>
      <c r="G810">
        <v>2001</v>
      </c>
      <c r="H810">
        <v>11</v>
      </c>
      <c r="I810">
        <v>11</v>
      </c>
      <c r="J810">
        <v>990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f t="shared" si="24"/>
        <v>0</v>
      </c>
      <c r="S810" t="s">
        <v>424</v>
      </c>
      <c r="T810">
        <v>12</v>
      </c>
      <c r="U810" t="str">
        <f t="shared" si="25"/>
        <v>Molly Pike:0</v>
      </c>
    </row>
    <row r="811" spans="1:21" x14ac:dyDescent="0.2">
      <c r="A811" t="s">
        <v>249</v>
      </c>
      <c r="B811" t="s">
        <v>606</v>
      </c>
      <c r="C811" t="s">
        <v>607</v>
      </c>
      <c r="D811" t="s">
        <v>248</v>
      </c>
      <c r="E811" t="s">
        <v>55</v>
      </c>
      <c r="F811">
        <v>19</v>
      </c>
      <c r="G811">
        <v>2001</v>
      </c>
      <c r="H811">
        <v>4</v>
      </c>
      <c r="I811">
        <v>0</v>
      </c>
      <c r="J811">
        <v>60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f t="shared" si="24"/>
        <v>0</v>
      </c>
      <c r="S811" t="s">
        <v>424</v>
      </c>
      <c r="T811">
        <v>32</v>
      </c>
      <c r="U811" t="str">
        <f t="shared" si="25"/>
        <v>Molly Pike:0</v>
      </c>
    </row>
    <row r="812" spans="1:21" x14ac:dyDescent="0.2">
      <c r="A812" t="s">
        <v>449</v>
      </c>
      <c r="B812" t="s">
        <v>626</v>
      </c>
      <c r="C812" t="s">
        <v>627</v>
      </c>
      <c r="D812" t="s">
        <v>23</v>
      </c>
      <c r="E812" t="s">
        <v>37</v>
      </c>
      <c r="F812">
        <v>26</v>
      </c>
      <c r="G812">
        <v>1993</v>
      </c>
      <c r="H812">
        <v>16</v>
      </c>
      <c r="I812">
        <v>9</v>
      </c>
      <c r="J812">
        <v>833</v>
      </c>
      <c r="K812">
        <v>1</v>
      </c>
      <c r="L812">
        <v>0</v>
      </c>
      <c r="M812">
        <v>1</v>
      </c>
      <c r="N812">
        <v>0</v>
      </c>
      <c r="O812">
        <v>0</v>
      </c>
      <c r="P812">
        <v>3</v>
      </c>
      <c r="Q812">
        <v>0</v>
      </c>
      <c r="R812">
        <f t="shared" si="24"/>
        <v>1.3338668800853674E-5</v>
      </c>
      <c r="S812" t="s">
        <v>424</v>
      </c>
      <c r="T812">
        <v>15</v>
      </c>
      <c r="U812" t="str">
        <f t="shared" si="25"/>
        <v>Nadine Hanssen:0</v>
      </c>
    </row>
    <row r="813" spans="1:21" x14ac:dyDescent="0.2">
      <c r="A813" t="s">
        <v>459</v>
      </c>
      <c r="B813" t="s">
        <v>606</v>
      </c>
      <c r="C813" t="s">
        <v>607</v>
      </c>
      <c r="D813" t="s">
        <v>50</v>
      </c>
      <c r="E813" t="s">
        <v>426</v>
      </c>
      <c r="F813">
        <v>16</v>
      </c>
      <c r="G813">
        <v>2004</v>
      </c>
      <c r="H813">
        <v>7</v>
      </c>
      <c r="I813">
        <v>4</v>
      </c>
      <c r="J813">
        <v>380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f t="shared" si="24"/>
        <v>0</v>
      </c>
      <c r="S813" t="s">
        <v>424</v>
      </c>
      <c r="T813">
        <v>12</v>
      </c>
      <c r="U813" t="str">
        <f t="shared" si="25"/>
        <v>Naomi Layzell:0</v>
      </c>
    </row>
    <row r="814" spans="1:21" x14ac:dyDescent="0.2">
      <c r="A814" t="s">
        <v>376</v>
      </c>
      <c r="B814" t="s">
        <v>606</v>
      </c>
      <c r="C814" t="s">
        <v>607</v>
      </c>
      <c r="D814" t="s">
        <v>50</v>
      </c>
      <c r="E814" t="s">
        <v>37</v>
      </c>
      <c r="F814">
        <v>20</v>
      </c>
      <c r="G814">
        <v>1999</v>
      </c>
      <c r="H814">
        <v>18</v>
      </c>
      <c r="I814">
        <v>18</v>
      </c>
      <c r="J814">
        <v>1570</v>
      </c>
      <c r="K814">
        <v>1</v>
      </c>
      <c r="L814">
        <v>1</v>
      </c>
      <c r="M814">
        <v>1</v>
      </c>
      <c r="N814">
        <v>0</v>
      </c>
      <c r="O814">
        <v>0</v>
      </c>
      <c r="P814">
        <v>0</v>
      </c>
      <c r="Q814">
        <v>0</v>
      </c>
      <c r="R814">
        <f t="shared" si="24"/>
        <v>7.0771408351026184E-6</v>
      </c>
      <c r="S814" t="s">
        <v>424</v>
      </c>
      <c r="T814">
        <v>15</v>
      </c>
      <c r="U814" t="str">
        <f t="shared" si="25"/>
        <v>Natalie Haigh:1</v>
      </c>
    </row>
    <row r="815" spans="1:21" x14ac:dyDescent="0.2">
      <c r="A815" t="s">
        <v>149</v>
      </c>
      <c r="B815" t="s">
        <v>624</v>
      </c>
      <c r="C815" t="s">
        <v>625</v>
      </c>
      <c r="D815" t="s">
        <v>248</v>
      </c>
      <c r="E815" t="s">
        <v>35</v>
      </c>
      <c r="F815">
        <v>31</v>
      </c>
      <c r="G815">
        <v>1989</v>
      </c>
      <c r="H815">
        <v>22</v>
      </c>
      <c r="I815">
        <v>22</v>
      </c>
      <c r="J815">
        <v>1917</v>
      </c>
      <c r="K815">
        <v>3</v>
      </c>
      <c r="L815">
        <v>3</v>
      </c>
      <c r="M815">
        <v>3</v>
      </c>
      <c r="N815">
        <v>0</v>
      </c>
      <c r="O815">
        <v>0</v>
      </c>
      <c r="P815">
        <v>4</v>
      </c>
      <c r="Q815">
        <v>0</v>
      </c>
      <c r="R815">
        <f t="shared" si="24"/>
        <v>1.7388280299078422E-5</v>
      </c>
      <c r="S815" t="s">
        <v>424</v>
      </c>
      <c r="T815">
        <v>24</v>
      </c>
      <c r="U815" t="str">
        <f t="shared" si="25"/>
        <v>Natasha Harding:3</v>
      </c>
    </row>
    <row r="816" spans="1:21" x14ac:dyDescent="0.2">
      <c r="A816" t="s">
        <v>88</v>
      </c>
      <c r="B816" t="s">
        <v>606</v>
      </c>
      <c r="C816" t="s">
        <v>607</v>
      </c>
      <c r="D816" t="s">
        <v>19</v>
      </c>
      <c r="E816" t="s">
        <v>20</v>
      </c>
      <c r="F816">
        <v>21</v>
      </c>
      <c r="G816">
        <v>1999</v>
      </c>
      <c r="H816">
        <v>13</v>
      </c>
      <c r="I816">
        <v>7</v>
      </c>
      <c r="J816">
        <v>649</v>
      </c>
      <c r="K816">
        <v>1</v>
      </c>
      <c r="L816">
        <v>1</v>
      </c>
      <c r="M816">
        <v>1</v>
      </c>
      <c r="N816">
        <v>0</v>
      </c>
      <c r="O816">
        <v>0</v>
      </c>
      <c r="P816">
        <v>0</v>
      </c>
      <c r="Q816">
        <v>0</v>
      </c>
      <c r="R816">
        <f t="shared" si="24"/>
        <v>1.712035610340695E-5</v>
      </c>
      <c r="S816" t="s">
        <v>424</v>
      </c>
      <c r="T816">
        <v>57</v>
      </c>
      <c r="U816" t="str">
        <f t="shared" si="25"/>
        <v>Niamh Charles:1</v>
      </c>
    </row>
    <row r="817" spans="1:21" x14ac:dyDescent="0.2">
      <c r="A817" t="s">
        <v>297</v>
      </c>
      <c r="B817" t="s">
        <v>620</v>
      </c>
      <c r="C817" t="s">
        <v>621</v>
      </c>
      <c r="D817" t="s">
        <v>26</v>
      </c>
      <c r="E817" t="s">
        <v>55</v>
      </c>
      <c r="F817">
        <v>22</v>
      </c>
      <c r="G817">
        <v>1997</v>
      </c>
      <c r="H817">
        <v>22</v>
      </c>
      <c r="I817">
        <v>14</v>
      </c>
      <c r="J817">
        <v>1310</v>
      </c>
      <c r="K817">
        <v>2</v>
      </c>
      <c r="L817">
        <v>3</v>
      </c>
      <c r="M817">
        <v>2</v>
      </c>
      <c r="N817">
        <v>0</v>
      </c>
      <c r="O817">
        <v>0</v>
      </c>
      <c r="P817">
        <v>1</v>
      </c>
      <c r="Q817">
        <v>0</v>
      </c>
      <c r="R817">
        <f t="shared" si="24"/>
        <v>1.6963528413910094E-5</v>
      </c>
      <c r="S817" t="s">
        <v>424</v>
      </c>
      <c r="T817">
        <v>32</v>
      </c>
      <c r="U817" t="str">
        <f t="shared" si="25"/>
        <v>Nicoline Sørensen:3</v>
      </c>
    </row>
    <row r="818" spans="1:21" x14ac:dyDescent="0.2">
      <c r="A818" t="s">
        <v>209</v>
      </c>
      <c r="B818" t="s">
        <v>614</v>
      </c>
      <c r="C818" t="s">
        <v>615</v>
      </c>
      <c r="D818" t="s">
        <v>50</v>
      </c>
      <c r="E818" t="s">
        <v>27</v>
      </c>
      <c r="F818">
        <v>24</v>
      </c>
      <c r="G818">
        <v>1995</v>
      </c>
      <c r="H818">
        <v>12</v>
      </c>
      <c r="I818">
        <v>10</v>
      </c>
      <c r="J818">
        <v>842</v>
      </c>
      <c r="K818">
        <v>0</v>
      </c>
      <c r="L818">
        <v>4</v>
      </c>
      <c r="M818">
        <v>0</v>
      </c>
      <c r="N818">
        <v>0</v>
      </c>
      <c r="O818">
        <v>0</v>
      </c>
      <c r="P818">
        <v>1</v>
      </c>
      <c r="Q818">
        <v>0</v>
      </c>
      <c r="R818">
        <f t="shared" si="24"/>
        <v>0</v>
      </c>
      <c r="S818" t="s">
        <v>424</v>
      </c>
      <c r="T818">
        <v>48</v>
      </c>
      <c r="U818" t="str">
        <f t="shared" si="25"/>
        <v>Noelle Maritz:4</v>
      </c>
    </row>
    <row r="819" spans="1:21" x14ac:dyDescent="0.2">
      <c r="A819" t="s">
        <v>470</v>
      </c>
      <c r="B819" t="s">
        <v>658</v>
      </c>
      <c r="C819" t="s">
        <v>659</v>
      </c>
      <c r="D819" t="s">
        <v>42</v>
      </c>
      <c r="E819" t="s">
        <v>24</v>
      </c>
      <c r="F819">
        <v>18</v>
      </c>
      <c r="G819">
        <v>2001</v>
      </c>
      <c r="H819">
        <v>9</v>
      </c>
      <c r="I819">
        <v>0</v>
      </c>
      <c r="J819">
        <v>74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f t="shared" si="24"/>
        <v>0</v>
      </c>
      <c r="S819" t="s">
        <v>424</v>
      </c>
      <c r="T819">
        <v>15</v>
      </c>
      <c r="U819" t="str">
        <f t="shared" si="25"/>
        <v>Nor Mustafa:0</v>
      </c>
    </row>
    <row r="820" spans="1:21" x14ac:dyDescent="0.2">
      <c r="A820" t="s">
        <v>452</v>
      </c>
      <c r="B820" t="s">
        <v>656</v>
      </c>
      <c r="C820" t="s">
        <v>657</v>
      </c>
      <c r="D820" t="s">
        <v>42</v>
      </c>
      <c r="E820" t="s">
        <v>48</v>
      </c>
      <c r="F820">
        <v>26</v>
      </c>
      <c r="G820">
        <v>1994</v>
      </c>
      <c r="H820">
        <v>11</v>
      </c>
      <c r="I820">
        <v>5</v>
      </c>
      <c r="J820">
        <v>450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1</v>
      </c>
      <c r="Q820">
        <v>0</v>
      </c>
      <c r="R820">
        <f t="shared" si="24"/>
        <v>0</v>
      </c>
      <c r="S820" t="s">
        <v>424</v>
      </c>
      <c r="T820">
        <v>27</v>
      </c>
      <c r="U820" t="str">
        <f t="shared" si="25"/>
        <v>Nora Heroum:0</v>
      </c>
    </row>
    <row r="821" spans="1:21" x14ac:dyDescent="0.2">
      <c r="A821" t="s">
        <v>214</v>
      </c>
      <c r="B821" t="s">
        <v>606</v>
      </c>
      <c r="C821" t="s">
        <v>607</v>
      </c>
      <c r="D821" t="s">
        <v>94</v>
      </c>
      <c r="E821" t="s">
        <v>37</v>
      </c>
      <c r="F821">
        <v>15</v>
      </c>
      <c r="G821">
        <v>2004</v>
      </c>
      <c r="H821">
        <v>8</v>
      </c>
      <c r="I821">
        <v>7</v>
      </c>
      <c r="J821">
        <v>608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1</v>
      </c>
      <c r="Q821">
        <v>0</v>
      </c>
      <c r="R821">
        <f t="shared" si="24"/>
        <v>0</v>
      </c>
      <c r="S821" t="s">
        <v>424</v>
      </c>
      <c r="T821">
        <v>15</v>
      </c>
      <c r="U821" t="str">
        <f t="shared" si="25"/>
        <v>Olivia McLoughlin:0</v>
      </c>
    </row>
    <row r="822" spans="1:21" x14ac:dyDescent="0.2">
      <c r="A822" t="s">
        <v>51</v>
      </c>
      <c r="B822" t="s">
        <v>666</v>
      </c>
      <c r="C822" t="s">
        <v>667</v>
      </c>
      <c r="D822" t="s">
        <v>50</v>
      </c>
      <c r="E822" t="s">
        <v>52</v>
      </c>
      <c r="F822">
        <v>21</v>
      </c>
      <c r="G822">
        <v>1999</v>
      </c>
      <c r="H822">
        <v>19</v>
      </c>
      <c r="I822">
        <v>19</v>
      </c>
      <c r="J822">
        <v>1632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1</v>
      </c>
      <c r="Q822">
        <v>0</v>
      </c>
      <c r="R822">
        <f t="shared" si="24"/>
        <v>0</v>
      </c>
      <c r="S822" t="s">
        <v>424</v>
      </c>
      <c r="T822">
        <v>47</v>
      </c>
      <c r="U822" t="str">
        <f t="shared" si="25"/>
        <v>Ona Batlle:0</v>
      </c>
    </row>
    <row r="823" spans="1:21" x14ac:dyDescent="0.2">
      <c r="A823" t="s">
        <v>148</v>
      </c>
      <c r="B823" t="s">
        <v>620</v>
      </c>
      <c r="C823" t="s">
        <v>621</v>
      </c>
      <c r="D823" t="s">
        <v>23</v>
      </c>
      <c r="E823" t="s">
        <v>20</v>
      </c>
      <c r="F823">
        <v>27</v>
      </c>
      <c r="G823">
        <v>1992</v>
      </c>
      <c r="H823">
        <v>22</v>
      </c>
      <c r="I823">
        <v>15</v>
      </c>
      <c r="J823">
        <v>1286</v>
      </c>
      <c r="K823">
        <v>10</v>
      </c>
      <c r="L823">
        <v>3</v>
      </c>
      <c r="M823">
        <v>9</v>
      </c>
      <c r="N823">
        <v>1</v>
      </c>
      <c r="O823">
        <v>1</v>
      </c>
      <c r="P823">
        <v>0</v>
      </c>
      <c r="Q823">
        <v>0</v>
      </c>
      <c r="R823">
        <f t="shared" si="24"/>
        <v>8.6400552963538971E-5</v>
      </c>
      <c r="S823" t="s">
        <v>424</v>
      </c>
      <c r="T823">
        <v>57</v>
      </c>
      <c r="U823" t="str">
        <f t="shared" si="25"/>
        <v>Pernille Harder:3</v>
      </c>
    </row>
    <row r="824" spans="1:21" x14ac:dyDescent="0.2">
      <c r="A824" t="s">
        <v>240</v>
      </c>
      <c r="B824" t="s">
        <v>606</v>
      </c>
      <c r="C824" t="s">
        <v>607</v>
      </c>
      <c r="D824" t="s">
        <v>29</v>
      </c>
      <c r="E824" t="s">
        <v>55</v>
      </c>
      <c r="F824">
        <v>20</v>
      </c>
      <c r="G824">
        <v>2000</v>
      </c>
      <c r="H824">
        <v>11</v>
      </c>
      <c r="I824">
        <v>7</v>
      </c>
      <c r="J824">
        <v>749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2</v>
      </c>
      <c r="Q824">
        <v>0</v>
      </c>
      <c r="R824">
        <f t="shared" si="24"/>
        <v>0</v>
      </c>
      <c r="S824" t="s">
        <v>424</v>
      </c>
      <c r="T824">
        <v>32</v>
      </c>
      <c r="U824" t="str">
        <f t="shared" si="25"/>
        <v>Poppy Pattinson:0</v>
      </c>
    </row>
    <row r="825" spans="1:21" x14ac:dyDescent="0.2">
      <c r="A825" t="s">
        <v>98</v>
      </c>
      <c r="B825" t="s">
        <v>652</v>
      </c>
      <c r="C825" t="s">
        <v>653</v>
      </c>
      <c r="D825" t="s">
        <v>50</v>
      </c>
      <c r="E825" t="s">
        <v>360</v>
      </c>
      <c r="F825">
        <v>30</v>
      </c>
      <c r="G825">
        <v>1989</v>
      </c>
      <c r="H825">
        <v>7</v>
      </c>
      <c r="I825">
        <v>7</v>
      </c>
      <c r="J825">
        <v>630</v>
      </c>
      <c r="K825">
        <v>1</v>
      </c>
      <c r="L825">
        <v>0</v>
      </c>
      <c r="M825">
        <v>1</v>
      </c>
      <c r="N825">
        <v>0</v>
      </c>
      <c r="O825">
        <v>0</v>
      </c>
      <c r="P825">
        <v>1</v>
      </c>
      <c r="Q825">
        <v>0</v>
      </c>
      <c r="R825">
        <f t="shared" si="24"/>
        <v>1.7636684303350968E-5</v>
      </c>
      <c r="S825" t="s">
        <v>424</v>
      </c>
      <c r="T825">
        <v>14</v>
      </c>
      <c r="U825" t="str">
        <f t="shared" si="25"/>
        <v>Rachel Corsie:0</v>
      </c>
    </row>
    <row r="826" spans="1:21" x14ac:dyDescent="0.2">
      <c r="A826" t="s">
        <v>104</v>
      </c>
      <c r="B826" t="s">
        <v>606</v>
      </c>
      <c r="C826" t="s">
        <v>607</v>
      </c>
      <c r="D826" t="s">
        <v>248</v>
      </c>
      <c r="E826" t="s">
        <v>24</v>
      </c>
      <c r="F826">
        <v>28</v>
      </c>
      <c r="G826">
        <v>1991</v>
      </c>
      <c r="H826">
        <v>9</v>
      </c>
      <c r="I826">
        <v>8</v>
      </c>
      <c r="J826">
        <v>765</v>
      </c>
      <c r="K826">
        <v>3</v>
      </c>
      <c r="L826">
        <v>1</v>
      </c>
      <c r="M826">
        <v>3</v>
      </c>
      <c r="N826">
        <v>0</v>
      </c>
      <c r="O826">
        <v>0</v>
      </c>
      <c r="P826">
        <v>4</v>
      </c>
      <c r="Q826">
        <v>0</v>
      </c>
      <c r="R826">
        <f t="shared" si="24"/>
        <v>4.3572984749455335E-5</v>
      </c>
      <c r="S826" t="s">
        <v>424</v>
      </c>
      <c r="T826">
        <v>15</v>
      </c>
      <c r="U826" t="str">
        <f t="shared" si="25"/>
        <v>Rachel Daly:1</v>
      </c>
    </row>
    <row r="827" spans="1:21" x14ac:dyDescent="0.2">
      <c r="A827" t="s">
        <v>266</v>
      </c>
      <c r="B827" t="s">
        <v>624</v>
      </c>
      <c r="C827" t="s">
        <v>625</v>
      </c>
      <c r="D827" t="s">
        <v>34</v>
      </c>
      <c r="E827" t="s">
        <v>35</v>
      </c>
      <c r="F827">
        <v>27</v>
      </c>
      <c r="G827">
        <v>1992</v>
      </c>
      <c r="H827">
        <v>19</v>
      </c>
      <c r="I827">
        <v>12</v>
      </c>
      <c r="J827">
        <v>1232</v>
      </c>
      <c r="K827">
        <v>5</v>
      </c>
      <c r="L827">
        <v>0</v>
      </c>
      <c r="M827">
        <v>5</v>
      </c>
      <c r="N827">
        <v>0</v>
      </c>
      <c r="O827">
        <v>0</v>
      </c>
      <c r="P827">
        <v>3</v>
      </c>
      <c r="Q827">
        <v>1</v>
      </c>
      <c r="R827">
        <f t="shared" si="24"/>
        <v>4.5093795093795087E-5</v>
      </c>
      <c r="S827" t="s">
        <v>424</v>
      </c>
      <c r="T827">
        <v>24</v>
      </c>
      <c r="U827" t="str">
        <f t="shared" si="25"/>
        <v>Rachel Rowe:0</v>
      </c>
    </row>
    <row r="828" spans="1:21" x14ac:dyDescent="0.2">
      <c r="A828" t="s">
        <v>328</v>
      </c>
      <c r="B828" t="s">
        <v>606</v>
      </c>
      <c r="C828" t="s">
        <v>607</v>
      </c>
      <c r="D828" t="s">
        <v>42</v>
      </c>
      <c r="E828" t="s">
        <v>30</v>
      </c>
      <c r="F828">
        <v>32</v>
      </c>
      <c r="G828">
        <v>1988</v>
      </c>
      <c r="H828">
        <v>12</v>
      </c>
      <c r="I828">
        <v>6</v>
      </c>
      <c r="J828">
        <v>541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f t="shared" si="24"/>
        <v>0</v>
      </c>
      <c r="S828" t="s">
        <v>424</v>
      </c>
      <c r="T828">
        <v>20</v>
      </c>
      <c r="U828" t="str">
        <f t="shared" si="25"/>
        <v>Rachel Williams:0</v>
      </c>
    </row>
    <row r="829" spans="1:21" x14ac:dyDescent="0.2">
      <c r="A829" t="s">
        <v>247</v>
      </c>
      <c r="B829" t="s">
        <v>630</v>
      </c>
      <c r="C829" t="s">
        <v>631</v>
      </c>
      <c r="D829" t="s">
        <v>23</v>
      </c>
      <c r="E829" t="s">
        <v>37</v>
      </c>
      <c r="F829">
        <v>27</v>
      </c>
      <c r="G829">
        <v>1992</v>
      </c>
      <c r="H829">
        <v>11</v>
      </c>
      <c r="I829">
        <v>9</v>
      </c>
      <c r="J829">
        <v>788</v>
      </c>
      <c r="K829">
        <v>3</v>
      </c>
      <c r="L829">
        <v>0</v>
      </c>
      <c r="M829">
        <v>3</v>
      </c>
      <c r="N829">
        <v>0</v>
      </c>
      <c r="O829">
        <v>0</v>
      </c>
      <c r="P829">
        <v>1</v>
      </c>
      <c r="Q829">
        <v>0</v>
      </c>
      <c r="R829">
        <f t="shared" si="24"/>
        <v>4.2301184433164128E-5</v>
      </c>
      <c r="S829" t="s">
        <v>424</v>
      </c>
      <c r="T829">
        <v>15</v>
      </c>
      <c r="U829" t="str">
        <f t="shared" si="25"/>
        <v>Ramona Petzelberger:0</v>
      </c>
    </row>
    <row r="830" spans="1:21" x14ac:dyDescent="0.2">
      <c r="A830" t="s">
        <v>382</v>
      </c>
      <c r="B830" t="s">
        <v>646</v>
      </c>
      <c r="C830" t="s">
        <v>647</v>
      </c>
      <c r="D830" t="s">
        <v>50</v>
      </c>
      <c r="E830" t="s">
        <v>360</v>
      </c>
      <c r="F830">
        <v>24</v>
      </c>
      <c r="G830">
        <v>1995</v>
      </c>
      <c r="H830">
        <v>21</v>
      </c>
      <c r="I830">
        <v>20</v>
      </c>
      <c r="J830">
        <v>1811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3</v>
      </c>
      <c r="Q830">
        <v>0</v>
      </c>
      <c r="R830">
        <f t="shared" si="24"/>
        <v>0</v>
      </c>
      <c r="S830" t="s">
        <v>424</v>
      </c>
      <c r="T830">
        <v>14</v>
      </c>
      <c r="U830" t="str">
        <f t="shared" si="25"/>
        <v>Rebecca Holloway:0</v>
      </c>
    </row>
    <row r="831" spans="1:21" x14ac:dyDescent="0.2">
      <c r="A831" t="s">
        <v>286</v>
      </c>
      <c r="B831" t="s">
        <v>650</v>
      </c>
      <c r="C831" t="s">
        <v>651</v>
      </c>
      <c r="D831" t="s">
        <v>40</v>
      </c>
      <c r="E831" t="s">
        <v>30</v>
      </c>
      <c r="F831">
        <v>29</v>
      </c>
      <c r="G831">
        <v>1991</v>
      </c>
      <c r="H831">
        <v>16</v>
      </c>
      <c r="I831">
        <v>16</v>
      </c>
      <c r="J831">
        <v>1440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f t="shared" si="24"/>
        <v>0</v>
      </c>
      <c r="S831" t="s">
        <v>424</v>
      </c>
      <c r="T831">
        <v>20</v>
      </c>
      <c r="U831" t="str">
        <f t="shared" si="25"/>
        <v>Rebecca Spencer:0</v>
      </c>
    </row>
    <row r="832" spans="1:21" x14ac:dyDescent="0.2">
      <c r="A832" t="s">
        <v>292</v>
      </c>
      <c r="B832" t="s">
        <v>628</v>
      </c>
      <c r="C832" t="s">
        <v>629</v>
      </c>
      <c r="D832" t="s">
        <v>50</v>
      </c>
      <c r="E832" t="s">
        <v>48</v>
      </c>
      <c r="F832">
        <v>27</v>
      </c>
      <c r="G832">
        <v>1993</v>
      </c>
      <c r="H832">
        <v>7</v>
      </c>
      <c r="I832">
        <v>5</v>
      </c>
      <c r="J832">
        <v>419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f t="shared" si="24"/>
        <v>0</v>
      </c>
      <c r="S832" t="s">
        <v>424</v>
      </c>
      <c r="T832">
        <v>27</v>
      </c>
      <c r="U832" t="str">
        <f t="shared" si="25"/>
        <v>Rebekah Stott:0</v>
      </c>
    </row>
    <row r="833" spans="1:21" x14ac:dyDescent="0.2">
      <c r="A833" t="s">
        <v>244</v>
      </c>
      <c r="B833" t="s">
        <v>628</v>
      </c>
      <c r="C833" t="s">
        <v>629</v>
      </c>
      <c r="D833" t="s">
        <v>94</v>
      </c>
      <c r="E833" t="s">
        <v>30</v>
      </c>
      <c r="F833">
        <v>30</v>
      </c>
      <c r="G833">
        <v>1989</v>
      </c>
      <c r="H833">
        <v>16</v>
      </c>
      <c r="I833">
        <v>16</v>
      </c>
      <c r="J833">
        <v>1440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3</v>
      </c>
      <c r="Q833">
        <v>0</v>
      </c>
      <c r="R833">
        <f t="shared" si="24"/>
        <v>0</v>
      </c>
      <c r="S833" t="s">
        <v>424</v>
      </c>
      <c r="T833">
        <v>20</v>
      </c>
      <c r="U833" t="str">
        <f t="shared" si="25"/>
        <v>Ria Percival:0</v>
      </c>
    </row>
    <row r="834" spans="1:21" x14ac:dyDescent="0.2">
      <c r="A834" t="s">
        <v>435</v>
      </c>
      <c r="B834" t="s">
        <v>606</v>
      </c>
      <c r="C834" t="s">
        <v>607</v>
      </c>
      <c r="D834" t="s">
        <v>26</v>
      </c>
      <c r="E834" t="s">
        <v>30</v>
      </c>
      <c r="F834">
        <v>21</v>
      </c>
      <c r="G834">
        <v>1998</v>
      </c>
      <c r="H834">
        <v>16</v>
      </c>
      <c r="I834">
        <v>10</v>
      </c>
      <c r="J834">
        <v>876</v>
      </c>
      <c r="K834">
        <v>0</v>
      </c>
      <c r="L834">
        <v>1</v>
      </c>
      <c r="M834">
        <v>0</v>
      </c>
      <c r="N834">
        <v>0</v>
      </c>
      <c r="O834">
        <v>0</v>
      </c>
      <c r="P834">
        <v>3</v>
      </c>
      <c r="Q834">
        <v>1</v>
      </c>
      <c r="R834">
        <f t="shared" si="24"/>
        <v>0</v>
      </c>
      <c r="S834" t="s">
        <v>424</v>
      </c>
      <c r="T834">
        <v>20</v>
      </c>
      <c r="U834" t="str">
        <f t="shared" si="25"/>
        <v>Rianna Dean:1</v>
      </c>
    </row>
    <row r="835" spans="1:21" x14ac:dyDescent="0.2">
      <c r="A835" t="s">
        <v>453</v>
      </c>
      <c r="B835" t="s">
        <v>632</v>
      </c>
      <c r="C835" t="s">
        <v>633</v>
      </c>
      <c r="D835" t="s">
        <v>26</v>
      </c>
      <c r="E835" t="s">
        <v>48</v>
      </c>
      <c r="F835">
        <v>21</v>
      </c>
      <c r="G835">
        <v>1999</v>
      </c>
      <c r="H835">
        <v>16</v>
      </c>
      <c r="I835">
        <v>8</v>
      </c>
      <c r="J835">
        <v>735</v>
      </c>
      <c r="K835">
        <v>2</v>
      </c>
      <c r="L835">
        <v>0</v>
      </c>
      <c r="M835">
        <v>2</v>
      </c>
      <c r="N835">
        <v>0</v>
      </c>
      <c r="O835">
        <v>0</v>
      </c>
      <c r="P835">
        <v>0</v>
      </c>
      <c r="Q835">
        <v>0</v>
      </c>
      <c r="R835">
        <f t="shared" ref="R835:R898" si="26">K835/J835/90</f>
        <v>3.0234315948601661E-5</v>
      </c>
      <c r="S835" t="s">
        <v>424</v>
      </c>
      <c r="T835">
        <v>27</v>
      </c>
      <c r="U835" t="str">
        <f t="shared" ref="U835:U898" si="27">CONCATENATE(A835, ":", L835)</f>
        <v>Rianna Jarrett:0</v>
      </c>
    </row>
    <row r="836" spans="1:21" x14ac:dyDescent="0.2">
      <c r="A836" t="s">
        <v>272</v>
      </c>
      <c r="B836" t="s">
        <v>620</v>
      </c>
      <c r="C836" t="s">
        <v>621</v>
      </c>
      <c r="D836" t="s">
        <v>50</v>
      </c>
      <c r="E836" t="s">
        <v>55</v>
      </c>
      <c r="F836">
        <v>24</v>
      </c>
      <c r="G836">
        <v>1996</v>
      </c>
      <c r="H836">
        <v>20</v>
      </c>
      <c r="I836">
        <v>19</v>
      </c>
      <c r="J836">
        <v>1666</v>
      </c>
      <c r="K836">
        <v>0</v>
      </c>
      <c r="L836">
        <v>1</v>
      </c>
      <c r="M836">
        <v>0</v>
      </c>
      <c r="N836">
        <v>0</v>
      </c>
      <c r="O836">
        <v>0</v>
      </c>
      <c r="P836">
        <v>3</v>
      </c>
      <c r="Q836">
        <v>0</v>
      </c>
      <c r="R836">
        <f t="shared" si="26"/>
        <v>0</v>
      </c>
      <c r="S836" t="s">
        <v>424</v>
      </c>
      <c r="T836">
        <v>32</v>
      </c>
      <c r="U836" t="str">
        <f t="shared" si="27"/>
        <v>Rikke Sevecke:1</v>
      </c>
    </row>
    <row r="837" spans="1:21" x14ac:dyDescent="0.2">
      <c r="A837" t="s">
        <v>458</v>
      </c>
      <c r="B837" t="s">
        <v>638</v>
      </c>
      <c r="C837" t="s">
        <v>639</v>
      </c>
      <c r="D837" t="s">
        <v>42</v>
      </c>
      <c r="E837" t="s">
        <v>32</v>
      </c>
      <c r="F837">
        <v>25</v>
      </c>
      <c r="G837">
        <v>1995</v>
      </c>
      <c r="H837">
        <v>16</v>
      </c>
      <c r="I837">
        <v>3</v>
      </c>
      <c r="J837">
        <v>466</v>
      </c>
      <c r="K837">
        <v>1</v>
      </c>
      <c r="L837">
        <v>0</v>
      </c>
      <c r="M837">
        <v>1</v>
      </c>
      <c r="N837">
        <v>0</v>
      </c>
      <c r="O837">
        <v>1</v>
      </c>
      <c r="P837">
        <v>0</v>
      </c>
      <c r="Q837">
        <v>0</v>
      </c>
      <c r="R837">
        <f t="shared" si="26"/>
        <v>2.384358607534573E-5</v>
      </c>
      <c r="S837" t="s">
        <v>424</v>
      </c>
      <c r="T837">
        <v>55</v>
      </c>
      <c r="U837" t="str">
        <f t="shared" si="27"/>
        <v>Rose Lavelle:0</v>
      </c>
    </row>
    <row r="838" spans="1:21" x14ac:dyDescent="0.2">
      <c r="A838" t="s">
        <v>44</v>
      </c>
      <c r="B838" t="s">
        <v>672</v>
      </c>
      <c r="C838" t="s">
        <v>673</v>
      </c>
      <c r="D838" t="s">
        <v>42</v>
      </c>
      <c r="E838" t="s">
        <v>30</v>
      </c>
      <c r="F838">
        <v>24</v>
      </c>
      <c r="G838">
        <v>1996</v>
      </c>
      <c r="H838">
        <v>19</v>
      </c>
      <c r="I838">
        <v>10</v>
      </c>
      <c r="J838">
        <v>1005</v>
      </c>
      <c r="K838">
        <v>1</v>
      </c>
      <c r="L838">
        <v>0</v>
      </c>
      <c r="M838">
        <v>1</v>
      </c>
      <c r="N838">
        <v>0</v>
      </c>
      <c r="O838">
        <v>0</v>
      </c>
      <c r="P838">
        <v>0</v>
      </c>
      <c r="Q838">
        <v>0</v>
      </c>
      <c r="R838">
        <f t="shared" si="26"/>
        <v>1.1055831951354338E-5</v>
      </c>
      <c r="S838" t="s">
        <v>424</v>
      </c>
      <c r="T838">
        <v>20</v>
      </c>
      <c r="U838" t="str">
        <f t="shared" si="27"/>
        <v>Rosella Ayane:0</v>
      </c>
    </row>
    <row r="839" spans="1:21" x14ac:dyDescent="0.2">
      <c r="A839" t="s">
        <v>445</v>
      </c>
      <c r="B839" t="s">
        <v>606</v>
      </c>
      <c r="C839" t="s">
        <v>607</v>
      </c>
      <c r="D839" t="s">
        <v>23</v>
      </c>
      <c r="E839" t="s">
        <v>24</v>
      </c>
      <c r="F839">
        <v>18</v>
      </c>
      <c r="G839">
        <v>2002</v>
      </c>
      <c r="H839">
        <v>6</v>
      </c>
      <c r="I839">
        <v>2</v>
      </c>
      <c r="J839">
        <v>205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f t="shared" si="26"/>
        <v>0</v>
      </c>
      <c r="S839" t="s">
        <v>424</v>
      </c>
      <c r="T839">
        <v>15</v>
      </c>
      <c r="U839" t="str">
        <f t="shared" si="27"/>
        <v>Ruby Grant:0</v>
      </c>
    </row>
    <row r="840" spans="1:21" x14ac:dyDescent="0.2">
      <c r="A840" t="s">
        <v>204</v>
      </c>
      <c r="B840" t="s">
        <v>606</v>
      </c>
      <c r="C840" t="s">
        <v>607</v>
      </c>
      <c r="D840" t="s">
        <v>42</v>
      </c>
      <c r="E840" t="s">
        <v>27</v>
      </c>
      <c r="F840">
        <v>16</v>
      </c>
      <c r="G840">
        <v>2003</v>
      </c>
      <c r="H840">
        <v>3</v>
      </c>
      <c r="I840">
        <v>0</v>
      </c>
      <c r="J840">
        <v>28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f t="shared" si="26"/>
        <v>0</v>
      </c>
      <c r="S840" t="s">
        <v>424</v>
      </c>
      <c r="T840">
        <v>48</v>
      </c>
      <c r="U840" t="str">
        <f t="shared" si="27"/>
        <v>Ruby Mace:0</v>
      </c>
    </row>
    <row r="841" spans="1:21" x14ac:dyDescent="0.2">
      <c r="A841" t="s">
        <v>204</v>
      </c>
      <c r="B841" t="s">
        <v>606</v>
      </c>
      <c r="C841" t="s">
        <v>607</v>
      </c>
      <c r="D841" t="s">
        <v>29</v>
      </c>
      <c r="E841" t="s">
        <v>360</v>
      </c>
      <c r="F841">
        <v>16</v>
      </c>
      <c r="G841">
        <v>2003</v>
      </c>
      <c r="H841">
        <v>11</v>
      </c>
      <c r="I841">
        <v>11</v>
      </c>
      <c r="J841">
        <v>977</v>
      </c>
      <c r="K841">
        <v>2</v>
      </c>
      <c r="L841">
        <v>0</v>
      </c>
      <c r="M841">
        <v>2</v>
      </c>
      <c r="N841">
        <v>0</v>
      </c>
      <c r="O841">
        <v>0</v>
      </c>
      <c r="P841">
        <v>0</v>
      </c>
      <c r="Q841">
        <v>0</v>
      </c>
      <c r="R841">
        <f t="shared" si="26"/>
        <v>2.2745365631752532E-5</v>
      </c>
      <c r="S841" t="s">
        <v>424</v>
      </c>
      <c r="T841">
        <v>14</v>
      </c>
      <c r="U841" t="str">
        <f t="shared" si="27"/>
        <v>Ruby Mace:0</v>
      </c>
    </row>
    <row r="842" spans="1:21" x14ac:dyDescent="0.2">
      <c r="A842" t="s">
        <v>200</v>
      </c>
      <c r="B842" t="s">
        <v>632</v>
      </c>
      <c r="C842" t="s">
        <v>633</v>
      </c>
      <c r="D842" t="s">
        <v>34</v>
      </c>
      <c r="E842" t="s">
        <v>360</v>
      </c>
      <c r="F842">
        <v>30</v>
      </c>
      <c r="G842">
        <v>1990</v>
      </c>
      <c r="H842">
        <v>11</v>
      </c>
      <c r="I842">
        <v>11</v>
      </c>
      <c r="J842">
        <v>888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6</v>
      </c>
      <c r="Q842">
        <v>0</v>
      </c>
      <c r="R842">
        <f t="shared" si="26"/>
        <v>0</v>
      </c>
      <c r="S842" t="s">
        <v>424</v>
      </c>
      <c r="T842">
        <v>14</v>
      </c>
      <c r="U842" t="str">
        <f t="shared" si="27"/>
        <v>Ruesha Littlejohn:0</v>
      </c>
    </row>
    <row r="843" spans="1:21" x14ac:dyDescent="0.2">
      <c r="A843" t="s">
        <v>179</v>
      </c>
      <c r="B843" t="s">
        <v>612</v>
      </c>
      <c r="C843" t="s">
        <v>613</v>
      </c>
      <c r="D843" t="s">
        <v>26</v>
      </c>
      <c r="E843" t="s">
        <v>20</v>
      </c>
      <c r="F843">
        <v>26</v>
      </c>
      <c r="G843">
        <v>1993</v>
      </c>
      <c r="H843">
        <v>22</v>
      </c>
      <c r="I843">
        <v>19</v>
      </c>
      <c r="J843">
        <v>1517</v>
      </c>
      <c r="K843">
        <v>21</v>
      </c>
      <c r="L843">
        <v>8</v>
      </c>
      <c r="M843">
        <v>21</v>
      </c>
      <c r="N843">
        <v>0</v>
      </c>
      <c r="O843">
        <v>0</v>
      </c>
      <c r="P843">
        <v>0</v>
      </c>
      <c r="Q843">
        <v>0</v>
      </c>
      <c r="R843">
        <f t="shared" si="26"/>
        <v>1.5381234893430015E-4</v>
      </c>
      <c r="S843" t="s">
        <v>424</v>
      </c>
      <c r="T843">
        <v>57</v>
      </c>
      <c r="U843" t="str">
        <f t="shared" si="27"/>
        <v>Sam Kerr:8</v>
      </c>
    </row>
    <row r="844" spans="1:21" x14ac:dyDescent="0.2">
      <c r="A844" t="s">
        <v>465</v>
      </c>
      <c r="B844" t="s">
        <v>638</v>
      </c>
      <c r="C844" t="s">
        <v>639</v>
      </c>
      <c r="D844" t="s">
        <v>34</v>
      </c>
      <c r="E844" t="s">
        <v>32</v>
      </c>
      <c r="F844">
        <v>27</v>
      </c>
      <c r="G844">
        <v>1992</v>
      </c>
      <c r="H844">
        <v>17</v>
      </c>
      <c r="I844">
        <v>14</v>
      </c>
      <c r="J844">
        <v>1147</v>
      </c>
      <c r="K844">
        <v>7</v>
      </c>
      <c r="L844">
        <v>2</v>
      </c>
      <c r="M844">
        <v>7</v>
      </c>
      <c r="N844">
        <v>0</v>
      </c>
      <c r="O844">
        <v>1</v>
      </c>
      <c r="P844">
        <v>1</v>
      </c>
      <c r="Q844">
        <v>0</v>
      </c>
      <c r="R844">
        <f t="shared" si="26"/>
        <v>6.780974522910007E-5</v>
      </c>
      <c r="S844" t="s">
        <v>424</v>
      </c>
      <c r="T844">
        <v>55</v>
      </c>
      <c r="U844" t="str">
        <f t="shared" si="27"/>
        <v>Sam Mewis:2</v>
      </c>
    </row>
    <row r="845" spans="1:21" x14ac:dyDescent="0.2">
      <c r="A845" t="s">
        <v>205</v>
      </c>
      <c r="B845" t="s">
        <v>606</v>
      </c>
      <c r="C845" t="s">
        <v>607</v>
      </c>
      <c r="D845" t="s">
        <v>40</v>
      </c>
      <c r="E845" t="s">
        <v>55</v>
      </c>
      <c r="F845">
        <v>22</v>
      </c>
      <c r="G845">
        <v>1998</v>
      </c>
      <c r="H845">
        <v>18</v>
      </c>
      <c r="I845">
        <v>18</v>
      </c>
      <c r="J845">
        <v>1548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1</v>
      </c>
      <c r="Q845">
        <v>0</v>
      </c>
      <c r="R845">
        <f t="shared" si="26"/>
        <v>0</v>
      </c>
      <c r="S845" t="s">
        <v>424</v>
      </c>
      <c r="T845">
        <v>32</v>
      </c>
      <c r="U845" t="str">
        <f t="shared" si="27"/>
        <v>Sandy MacIver:0</v>
      </c>
    </row>
    <row r="846" spans="1:21" x14ac:dyDescent="0.2">
      <c r="A846" t="s">
        <v>212</v>
      </c>
      <c r="B846" t="s">
        <v>606</v>
      </c>
      <c r="C846" t="s">
        <v>607</v>
      </c>
      <c r="D846" t="s">
        <v>94</v>
      </c>
      <c r="E846" t="s">
        <v>360</v>
      </c>
      <c r="F846">
        <v>23</v>
      </c>
      <c r="G846">
        <v>1997</v>
      </c>
      <c r="H846">
        <v>18</v>
      </c>
      <c r="I846">
        <v>18</v>
      </c>
      <c r="J846">
        <v>1564</v>
      </c>
      <c r="K846">
        <v>0</v>
      </c>
      <c r="L846">
        <v>4</v>
      </c>
      <c r="M846">
        <v>0</v>
      </c>
      <c r="N846">
        <v>0</v>
      </c>
      <c r="O846">
        <v>0</v>
      </c>
      <c r="P846">
        <v>2</v>
      </c>
      <c r="Q846">
        <v>0</v>
      </c>
      <c r="R846">
        <f t="shared" si="26"/>
        <v>0</v>
      </c>
      <c r="S846" t="s">
        <v>424</v>
      </c>
      <c r="T846">
        <v>14</v>
      </c>
      <c r="U846" t="str">
        <f t="shared" si="27"/>
        <v>Sarah Mayling:4</v>
      </c>
    </row>
    <row r="847" spans="1:21" x14ac:dyDescent="0.2">
      <c r="A847" t="s">
        <v>379</v>
      </c>
      <c r="B847" t="s">
        <v>650</v>
      </c>
      <c r="C847" t="s">
        <v>651</v>
      </c>
      <c r="D847" t="s">
        <v>42</v>
      </c>
      <c r="E847" t="s">
        <v>37</v>
      </c>
      <c r="F847">
        <v>20</v>
      </c>
      <c r="G847">
        <v>1999</v>
      </c>
      <c r="H847">
        <v>19</v>
      </c>
      <c r="I847">
        <v>13</v>
      </c>
      <c r="J847">
        <v>955</v>
      </c>
      <c r="K847">
        <v>2</v>
      </c>
      <c r="L847">
        <v>1</v>
      </c>
      <c r="M847">
        <v>2</v>
      </c>
      <c r="N847">
        <v>0</v>
      </c>
      <c r="O847">
        <v>0</v>
      </c>
      <c r="P847">
        <v>0</v>
      </c>
      <c r="Q847">
        <v>0</v>
      </c>
      <c r="R847">
        <f t="shared" si="26"/>
        <v>2.3269342641070394E-5</v>
      </c>
      <c r="S847" t="s">
        <v>424</v>
      </c>
      <c r="T847">
        <v>15</v>
      </c>
      <c r="U847" t="str">
        <f t="shared" si="27"/>
        <v>Shania Hayles:1</v>
      </c>
    </row>
    <row r="848" spans="1:21" x14ac:dyDescent="0.2">
      <c r="A848" t="s">
        <v>334</v>
      </c>
      <c r="B848" t="s">
        <v>608</v>
      </c>
      <c r="C848" t="s">
        <v>609</v>
      </c>
      <c r="D848" t="s">
        <v>50</v>
      </c>
      <c r="E848" t="s">
        <v>30</v>
      </c>
      <c r="F848">
        <v>27</v>
      </c>
      <c r="G848">
        <v>1992</v>
      </c>
      <c r="H848">
        <v>20</v>
      </c>
      <c r="I848">
        <v>20</v>
      </c>
      <c r="J848">
        <v>1800</v>
      </c>
      <c r="K848">
        <v>0</v>
      </c>
      <c r="L848">
        <v>1</v>
      </c>
      <c r="M848">
        <v>0</v>
      </c>
      <c r="N848">
        <v>0</v>
      </c>
      <c r="O848">
        <v>0</v>
      </c>
      <c r="P848">
        <v>0</v>
      </c>
      <c r="Q848">
        <v>0</v>
      </c>
      <c r="R848">
        <f t="shared" si="26"/>
        <v>0</v>
      </c>
      <c r="S848" t="s">
        <v>424</v>
      </c>
      <c r="T848">
        <v>20</v>
      </c>
      <c r="U848" t="str">
        <f t="shared" si="27"/>
        <v>Shelina Zadorsky:1</v>
      </c>
    </row>
    <row r="849" spans="1:21" x14ac:dyDescent="0.2">
      <c r="A849" t="s">
        <v>402</v>
      </c>
      <c r="B849" t="s">
        <v>606</v>
      </c>
      <c r="C849" t="s">
        <v>607</v>
      </c>
      <c r="D849" t="s">
        <v>40</v>
      </c>
      <c r="E849" t="s">
        <v>37</v>
      </c>
      <c r="F849">
        <v>22</v>
      </c>
      <c r="G849">
        <v>1998</v>
      </c>
      <c r="H849">
        <v>1</v>
      </c>
      <c r="I849">
        <v>1</v>
      </c>
      <c r="J849">
        <v>90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f t="shared" si="26"/>
        <v>0</v>
      </c>
      <c r="S849" t="s">
        <v>424</v>
      </c>
      <c r="T849">
        <v>15</v>
      </c>
      <c r="U849" t="str">
        <f t="shared" si="27"/>
        <v>Sian Rogers:0</v>
      </c>
    </row>
    <row r="850" spans="1:21" x14ac:dyDescent="0.2">
      <c r="A850" t="s">
        <v>206</v>
      </c>
      <c r="B850" t="s">
        <v>646</v>
      </c>
      <c r="C850" t="s">
        <v>647</v>
      </c>
      <c r="D850" t="s">
        <v>42</v>
      </c>
      <c r="E850" t="s">
        <v>55</v>
      </c>
      <c r="F850">
        <v>25</v>
      </c>
      <c r="G850">
        <v>1994</v>
      </c>
      <c r="H850">
        <v>16</v>
      </c>
      <c r="I850">
        <v>7</v>
      </c>
      <c r="J850">
        <v>682</v>
      </c>
      <c r="K850">
        <v>6</v>
      </c>
      <c r="L850">
        <v>1</v>
      </c>
      <c r="M850">
        <v>6</v>
      </c>
      <c r="N850">
        <v>0</v>
      </c>
      <c r="O850">
        <v>0</v>
      </c>
      <c r="P850">
        <v>1</v>
      </c>
      <c r="Q850">
        <v>0</v>
      </c>
      <c r="R850">
        <f t="shared" si="26"/>
        <v>9.7751710654936475E-5</v>
      </c>
      <c r="S850" t="s">
        <v>424</v>
      </c>
      <c r="T850">
        <v>32</v>
      </c>
      <c r="U850" t="str">
        <f t="shared" si="27"/>
        <v>Simone Magill:1</v>
      </c>
    </row>
    <row r="851" spans="1:21" x14ac:dyDescent="0.2">
      <c r="A851" t="s">
        <v>496</v>
      </c>
      <c r="B851" t="s">
        <v>626</v>
      </c>
      <c r="C851" t="s">
        <v>627</v>
      </c>
      <c r="D851" t="s">
        <v>50</v>
      </c>
      <c r="E851" t="s">
        <v>30</v>
      </c>
      <c r="F851">
        <v>28</v>
      </c>
      <c r="G851">
        <v>1992</v>
      </c>
      <c r="H851">
        <v>13</v>
      </c>
      <c r="I851">
        <v>11</v>
      </c>
      <c r="J851">
        <v>1024</v>
      </c>
      <c r="K851">
        <v>2</v>
      </c>
      <c r="L851">
        <v>3</v>
      </c>
      <c r="M851">
        <v>2</v>
      </c>
      <c r="N851">
        <v>0</v>
      </c>
      <c r="O851">
        <v>0</v>
      </c>
      <c r="P851">
        <v>2</v>
      </c>
      <c r="Q851">
        <v>0</v>
      </c>
      <c r="R851">
        <f t="shared" si="26"/>
        <v>2.170138888888889E-5</v>
      </c>
      <c r="S851" t="s">
        <v>424</v>
      </c>
      <c r="T851">
        <v>20</v>
      </c>
      <c r="U851" t="str">
        <f t="shared" si="27"/>
        <v>Siri Worm:3</v>
      </c>
    </row>
    <row r="852" spans="1:21" x14ac:dyDescent="0.2">
      <c r="A852" t="s">
        <v>427</v>
      </c>
      <c r="B852" t="s">
        <v>606</v>
      </c>
      <c r="C852" t="s">
        <v>607</v>
      </c>
      <c r="D852" t="s">
        <v>40</v>
      </c>
      <c r="E852" t="s">
        <v>426</v>
      </c>
      <c r="F852">
        <v>23</v>
      </c>
      <c r="G852">
        <v>1996</v>
      </c>
      <c r="H852">
        <v>21</v>
      </c>
      <c r="I852">
        <v>21</v>
      </c>
      <c r="J852">
        <v>1890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f t="shared" si="26"/>
        <v>0</v>
      </c>
      <c r="S852" t="s">
        <v>424</v>
      </c>
      <c r="T852">
        <v>12</v>
      </c>
      <c r="U852" t="str">
        <f t="shared" si="27"/>
        <v>Sophie Baggaley:0</v>
      </c>
    </row>
    <row r="853" spans="1:21" x14ac:dyDescent="0.2">
      <c r="A853" t="s">
        <v>451</v>
      </c>
      <c r="B853" t="s">
        <v>606</v>
      </c>
      <c r="C853" t="s">
        <v>607</v>
      </c>
      <c r="D853" t="s">
        <v>94</v>
      </c>
      <c r="E853" t="s">
        <v>37</v>
      </c>
      <c r="F853">
        <v>24</v>
      </c>
      <c r="G853">
        <v>1996</v>
      </c>
      <c r="H853">
        <v>8</v>
      </c>
      <c r="I853">
        <v>3</v>
      </c>
      <c r="J853">
        <v>323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f t="shared" si="26"/>
        <v>0</v>
      </c>
      <c r="S853" t="s">
        <v>424</v>
      </c>
      <c r="T853">
        <v>15</v>
      </c>
      <c r="U853" t="str">
        <f t="shared" si="27"/>
        <v>Sophie Haywood:0</v>
      </c>
    </row>
    <row r="854" spans="1:21" x14ac:dyDescent="0.2">
      <c r="A854" t="s">
        <v>167</v>
      </c>
      <c r="B854" t="s">
        <v>624</v>
      </c>
      <c r="C854" t="s">
        <v>625</v>
      </c>
      <c r="D854" t="s">
        <v>94</v>
      </c>
      <c r="E854" t="s">
        <v>20</v>
      </c>
      <c r="F854">
        <v>28</v>
      </c>
      <c r="G854">
        <v>1991</v>
      </c>
      <c r="H854">
        <v>18</v>
      </c>
      <c r="I854">
        <v>13</v>
      </c>
      <c r="J854">
        <v>1226</v>
      </c>
      <c r="K854">
        <v>0</v>
      </c>
      <c r="L854">
        <v>1</v>
      </c>
      <c r="M854">
        <v>0</v>
      </c>
      <c r="N854">
        <v>0</v>
      </c>
      <c r="O854">
        <v>0</v>
      </c>
      <c r="P854">
        <v>0</v>
      </c>
      <c r="Q854">
        <v>0</v>
      </c>
      <c r="R854">
        <f t="shared" si="26"/>
        <v>0</v>
      </c>
      <c r="S854" t="s">
        <v>424</v>
      </c>
      <c r="T854">
        <v>57</v>
      </c>
      <c r="U854" t="str">
        <f t="shared" si="27"/>
        <v>Sophie Ingle:1</v>
      </c>
    </row>
    <row r="855" spans="1:21" x14ac:dyDescent="0.2">
      <c r="A855" t="s">
        <v>87</v>
      </c>
      <c r="B855" t="s">
        <v>612</v>
      </c>
      <c r="C855" t="s">
        <v>613</v>
      </c>
      <c r="D855" t="s">
        <v>50</v>
      </c>
      <c r="E855" t="s">
        <v>27</v>
      </c>
      <c r="F855">
        <v>26</v>
      </c>
      <c r="G855">
        <v>1994</v>
      </c>
      <c r="H855">
        <v>6</v>
      </c>
      <c r="I855">
        <v>2</v>
      </c>
      <c r="J855">
        <v>189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f t="shared" si="26"/>
        <v>0</v>
      </c>
      <c r="S855" t="s">
        <v>424</v>
      </c>
      <c r="T855">
        <v>48</v>
      </c>
      <c r="U855" t="str">
        <f t="shared" si="27"/>
        <v>Steph Catley:0</v>
      </c>
    </row>
    <row r="856" spans="1:21" x14ac:dyDescent="0.2">
      <c r="A856" t="s">
        <v>161</v>
      </c>
      <c r="B856" t="s">
        <v>606</v>
      </c>
      <c r="C856" t="s">
        <v>607</v>
      </c>
      <c r="D856" t="s">
        <v>50</v>
      </c>
      <c r="E856" t="s">
        <v>32</v>
      </c>
      <c r="F856">
        <v>32</v>
      </c>
      <c r="G856">
        <v>1988</v>
      </c>
      <c r="H856">
        <v>16</v>
      </c>
      <c r="I856">
        <v>16</v>
      </c>
      <c r="J856">
        <v>1415</v>
      </c>
      <c r="K856">
        <v>2</v>
      </c>
      <c r="L856">
        <v>2</v>
      </c>
      <c r="M856">
        <v>2</v>
      </c>
      <c r="N856">
        <v>0</v>
      </c>
      <c r="O856">
        <v>0</v>
      </c>
      <c r="P856">
        <v>0</v>
      </c>
      <c r="Q856">
        <v>0</v>
      </c>
      <c r="R856">
        <f t="shared" si="26"/>
        <v>1.5704750687082843E-5</v>
      </c>
      <c r="S856" t="s">
        <v>424</v>
      </c>
      <c r="T856">
        <v>55</v>
      </c>
      <c r="U856" t="str">
        <f t="shared" si="27"/>
        <v>Steph Houghton:2</v>
      </c>
    </row>
    <row r="857" spans="1:21" x14ac:dyDescent="0.2">
      <c r="A857" t="s">
        <v>457</v>
      </c>
      <c r="B857" t="s">
        <v>620</v>
      </c>
      <c r="C857" t="s">
        <v>621</v>
      </c>
      <c r="D857" t="s">
        <v>26</v>
      </c>
      <c r="E857" t="s">
        <v>37</v>
      </c>
      <c r="F857">
        <v>24</v>
      </c>
      <c r="G857">
        <v>1996</v>
      </c>
      <c r="H857">
        <v>17</v>
      </c>
      <c r="I857">
        <v>16</v>
      </c>
      <c r="J857">
        <v>1452</v>
      </c>
      <c r="K857">
        <v>1</v>
      </c>
      <c r="L857">
        <v>0</v>
      </c>
      <c r="M857">
        <v>0</v>
      </c>
      <c r="N857">
        <v>1</v>
      </c>
      <c r="O857">
        <v>1</v>
      </c>
      <c r="P857">
        <v>2</v>
      </c>
      <c r="Q857">
        <v>0</v>
      </c>
      <c r="R857">
        <f t="shared" si="26"/>
        <v>7.6522803795531071E-6</v>
      </c>
      <c r="S857" t="s">
        <v>424</v>
      </c>
      <c r="T857">
        <v>15</v>
      </c>
      <c r="U857" t="str">
        <f t="shared" si="27"/>
        <v>Stine Larsen:0</v>
      </c>
    </row>
    <row r="858" spans="1:21" x14ac:dyDescent="0.2">
      <c r="A858" t="s">
        <v>184</v>
      </c>
      <c r="B858" t="s">
        <v>656</v>
      </c>
      <c r="C858" t="s">
        <v>657</v>
      </c>
      <c r="D858" t="s">
        <v>40</v>
      </c>
      <c r="E858" t="s">
        <v>55</v>
      </c>
      <c r="F858">
        <v>34</v>
      </c>
      <c r="G858">
        <v>1986</v>
      </c>
      <c r="H858">
        <v>5</v>
      </c>
      <c r="I858">
        <v>4</v>
      </c>
      <c r="J858">
        <v>432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f t="shared" si="26"/>
        <v>0</v>
      </c>
      <c r="S858" t="s">
        <v>424</v>
      </c>
      <c r="T858">
        <v>32</v>
      </c>
      <c r="U858" t="str">
        <f t="shared" si="27"/>
        <v>Tinja-Riikka Korpela:0</v>
      </c>
    </row>
    <row r="859" spans="1:21" x14ac:dyDescent="0.2">
      <c r="A859" t="s">
        <v>380</v>
      </c>
      <c r="B859" t="s">
        <v>638</v>
      </c>
      <c r="C859" t="s">
        <v>639</v>
      </c>
      <c r="D859" t="s">
        <v>26</v>
      </c>
      <c r="E859" t="s">
        <v>52</v>
      </c>
      <c r="F859">
        <v>32</v>
      </c>
      <c r="G859">
        <v>1988</v>
      </c>
      <c r="H859">
        <v>8</v>
      </c>
      <c r="I859">
        <v>7</v>
      </c>
      <c r="J859">
        <v>575</v>
      </c>
      <c r="K859">
        <v>4</v>
      </c>
      <c r="L859">
        <v>2</v>
      </c>
      <c r="M859">
        <v>4</v>
      </c>
      <c r="N859">
        <v>0</v>
      </c>
      <c r="O859">
        <v>0</v>
      </c>
      <c r="P859">
        <v>1</v>
      </c>
      <c r="Q859">
        <v>0</v>
      </c>
      <c r="R859">
        <f t="shared" si="26"/>
        <v>7.7294685990338165E-5</v>
      </c>
      <c r="S859" t="s">
        <v>424</v>
      </c>
      <c r="T859">
        <v>47</v>
      </c>
      <c r="U859" t="str">
        <f t="shared" si="27"/>
        <v>Tobin Heath:2</v>
      </c>
    </row>
    <row r="860" spans="1:21" x14ac:dyDescent="0.2">
      <c r="A860" t="s">
        <v>371</v>
      </c>
      <c r="B860" t="s">
        <v>610</v>
      </c>
      <c r="C860" t="s">
        <v>611</v>
      </c>
      <c r="D860" t="s">
        <v>26</v>
      </c>
      <c r="E860" t="s">
        <v>55</v>
      </c>
      <c r="F860">
        <v>24</v>
      </c>
      <c r="G860">
        <v>1996</v>
      </c>
      <c r="H860">
        <v>15</v>
      </c>
      <c r="I860">
        <v>10</v>
      </c>
      <c r="J860">
        <v>811</v>
      </c>
      <c r="K860">
        <v>5</v>
      </c>
      <c r="L860">
        <v>1</v>
      </c>
      <c r="M860">
        <v>3</v>
      </c>
      <c r="N860">
        <v>2</v>
      </c>
      <c r="O860">
        <v>2</v>
      </c>
      <c r="P860">
        <v>0</v>
      </c>
      <c r="Q860">
        <v>0</v>
      </c>
      <c r="R860">
        <f t="shared" si="26"/>
        <v>6.8502534593779972E-5</v>
      </c>
      <c r="S860" t="s">
        <v>424</v>
      </c>
      <c r="T860">
        <v>32</v>
      </c>
      <c r="U860" t="str">
        <f t="shared" si="27"/>
        <v>Valérie Gauvin:1</v>
      </c>
    </row>
    <row r="861" spans="1:21" x14ac:dyDescent="0.2">
      <c r="A861" t="s">
        <v>270</v>
      </c>
      <c r="B861" t="s">
        <v>674</v>
      </c>
      <c r="C861" t="s">
        <v>675</v>
      </c>
      <c r="D861" t="s">
        <v>23</v>
      </c>
      <c r="E861" t="s">
        <v>360</v>
      </c>
      <c r="F861">
        <v>22</v>
      </c>
      <c r="G861">
        <v>1998</v>
      </c>
      <c r="H861">
        <v>1</v>
      </c>
      <c r="I861">
        <v>0</v>
      </c>
      <c r="J861">
        <v>33</v>
      </c>
      <c r="K861">
        <v>1</v>
      </c>
      <c r="L861">
        <v>0</v>
      </c>
      <c r="M861">
        <v>1</v>
      </c>
      <c r="N861">
        <v>0</v>
      </c>
      <c r="O861">
        <v>0</v>
      </c>
      <c r="P861">
        <v>0</v>
      </c>
      <c r="Q861">
        <v>0</v>
      </c>
      <c r="R861">
        <f t="shared" si="26"/>
        <v>3.3670033670033672E-4</v>
      </c>
      <c r="S861" t="s">
        <v>424</v>
      </c>
      <c r="T861">
        <v>14</v>
      </c>
      <c r="U861" t="str">
        <f t="shared" si="27"/>
        <v>Veatriki Sarri:0</v>
      </c>
    </row>
    <row r="862" spans="1:21" x14ac:dyDescent="0.2">
      <c r="A862" t="s">
        <v>329</v>
      </c>
      <c r="B862" t="s">
        <v>650</v>
      </c>
      <c r="C862" t="s">
        <v>651</v>
      </c>
      <c r="D862" t="s">
        <v>50</v>
      </c>
      <c r="E862" t="s">
        <v>48</v>
      </c>
      <c r="F862">
        <v>30</v>
      </c>
      <c r="G862">
        <v>1990</v>
      </c>
      <c r="H862">
        <v>17</v>
      </c>
      <c r="I862">
        <v>15</v>
      </c>
      <c r="J862">
        <v>1354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1</v>
      </c>
      <c r="Q862">
        <v>0</v>
      </c>
      <c r="R862">
        <f t="shared" si="26"/>
        <v>0</v>
      </c>
      <c r="S862" t="s">
        <v>424</v>
      </c>
      <c r="T862">
        <v>27</v>
      </c>
      <c r="U862" t="str">
        <f t="shared" si="27"/>
        <v>Victoria Williams:0</v>
      </c>
    </row>
    <row r="863" spans="1:21" x14ac:dyDescent="0.2">
      <c r="A863" t="s">
        <v>406</v>
      </c>
      <c r="B863" t="s">
        <v>668</v>
      </c>
      <c r="C863" t="s">
        <v>669</v>
      </c>
      <c r="D863" t="s">
        <v>50</v>
      </c>
      <c r="E863" t="s">
        <v>27</v>
      </c>
      <c r="F863">
        <v>29</v>
      </c>
      <c r="G863">
        <v>1991</v>
      </c>
      <c r="H863">
        <v>6</v>
      </c>
      <c r="I863">
        <v>5</v>
      </c>
      <c r="J863">
        <v>459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f t="shared" si="26"/>
        <v>0</v>
      </c>
      <c r="S863" t="s">
        <v>424</v>
      </c>
      <c r="T863">
        <v>48</v>
      </c>
      <c r="U863" t="str">
        <f t="shared" si="27"/>
        <v>Viktoria Schnaderbeck:0</v>
      </c>
    </row>
    <row r="864" spans="1:21" x14ac:dyDescent="0.2">
      <c r="A864" t="s">
        <v>217</v>
      </c>
      <c r="B864" t="s">
        <v>626</v>
      </c>
      <c r="C864" t="s">
        <v>627</v>
      </c>
      <c r="D864" t="s">
        <v>26</v>
      </c>
      <c r="E864" t="s">
        <v>27</v>
      </c>
      <c r="F864">
        <v>24</v>
      </c>
      <c r="G864">
        <v>1996</v>
      </c>
      <c r="H864">
        <v>22</v>
      </c>
      <c r="I864">
        <v>21</v>
      </c>
      <c r="J864">
        <v>1862</v>
      </c>
      <c r="K864">
        <v>18</v>
      </c>
      <c r="L864">
        <v>5</v>
      </c>
      <c r="M864">
        <v>18</v>
      </c>
      <c r="N864">
        <v>0</v>
      </c>
      <c r="O864">
        <v>0</v>
      </c>
      <c r="P864">
        <v>1</v>
      </c>
      <c r="Q864">
        <v>0</v>
      </c>
      <c r="R864">
        <f t="shared" si="26"/>
        <v>1.0741138560687433E-4</v>
      </c>
      <c r="S864" t="s">
        <v>424</v>
      </c>
      <c r="T864">
        <v>48</v>
      </c>
      <c r="U864" t="str">
        <f t="shared" si="27"/>
        <v>Vivianne Miedema:5</v>
      </c>
    </row>
    <row r="865" spans="1:21" x14ac:dyDescent="0.2">
      <c r="A865" t="s">
        <v>455</v>
      </c>
      <c r="B865" t="s">
        <v>670</v>
      </c>
      <c r="C865" t="s">
        <v>671</v>
      </c>
      <c r="D865" t="s">
        <v>26</v>
      </c>
      <c r="E865" t="s">
        <v>24</v>
      </c>
      <c r="F865">
        <v>17</v>
      </c>
      <c r="G865">
        <v>2003</v>
      </c>
      <c r="H865">
        <v>1</v>
      </c>
      <c r="I865">
        <v>0</v>
      </c>
      <c r="J865">
        <v>1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f t="shared" si="26"/>
        <v>0</v>
      </c>
      <c r="S865" t="s">
        <v>424</v>
      </c>
      <c r="T865">
        <v>15</v>
      </c>
      <c r="U865" t="str">
        <f t="shared" si="27"/>
        <v>Wiktoria Kiszkis:0</v>
      </c>
    </row>
    <row r="866" spans="1:21" x14ac:dyDescent="0.2">
      <c r="A866" t="s">
        <v>105</v>
      </c>
      <c r="B866" t="s">
        <v>622</v>
      </c>
      <c r="C866" t="s">
        <v>623</v>
      </c>
      <c r="D866" t="s">
        <v>23</v>
      </c>
      <c r="E866" t="s">
        <v>426</v>
      </c>
      <c r="F866">
        <v>28</v>
      </c>
      <c r="G866">
        <v>1992</v>
      </c>
      <c r="H866">
        <v>22</v>
      </c>
      <c r="I866">
        <v>19</v>
      </c>
      <c r="J866">
        <v>1713</v>
      </c>
      <c r="K866">
        <v>1</v>
      </c>
      <c r="L866">
        <v>1</v>
      </c>
      <c r="M866">
        <v>1</v>
      </c>
      <c r="N866">
        <v>0</v>
      </c>
      <c r="O866">
        <v>0</v>
      </c>
      <c r="P866">
        <v>3</v>
      </c>
      <c r="Q866">
        <v>0</v>
      </c>
      <c r="R866">
        <f t="shared" si="26"/>
        <v>6.4863462411623529E-6</v>
      </c>
      <c r="S866" t="s">
        <v>424</v>
      </c>
      <c r="T866">
        <v>12</v>
      </c>
      <c r="U866" t="str">
        <f t="shared" si="27"/>
        <v>Yana Daniels:1</v>
      </c>
    </row>
    <row r="867" spans="1:21" x14ac:dyDescent="0.2">
      <c r="A867" t="s">
        <v>225</v>
      </c>
      <c r="B867" t="s">
        <v>658</v>
      </c>
      <c r="C867" t="s">
        <v>659</v>
      </c>
      <c r="D867" t="s">
        <v>40</v>
      </c>
      <c r="E867" t="s">
        <v>20</v>
      </c>
      <c r="F867">
        <v>24</v>
      </c>
      <c r="G867">
        <v>1996</v>
      </c>
      <c r="H867">
        <v>2</v>
      </c>
      <c r="I867">
        <v>2</v>
      </c>
      <c r="J867">
        <v>180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f t="shared" si="26"/>
        <v>0</v>
      </c>
      <c r="S867" t="s">
        <v>424</v>
      </c>
      <c r="T867">
        <v>57</v>
      </c>
      <c r="U867" t="str">
        <f t="shared" si="27"/>
        <v>Zećira Mušović:0</v>
      </c>
    </row>
    <row r="868" spans="1:21" x14ac:dyDescent="0.2">
      <c r="A868" t="s">
        <v>293</v>
      </c>
      <c r="B868" t="s">
        <v>606</v>
      </c>
      <c r="C868" t="s">
        <v>607</v>
      </c>
      <c r="D868" t="s">
        <v>34</v>
      </c>
      <c r="E868" t="s">
        <v>55</v>
      </c>
      <c r="F868">
        <v>24</v>
      </c>
      <c r="G868">
        <v>1995</v>
      </c>
      <c r="H868">
        <v>11</v>
      </c>
      <c r="I868">
        <v>5</v>
      </c>
      <c r="J868">
        <v>505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3</v>
      </c>
      <c r="Q868">
        <v>0</v>
      </c>
      <c r="R868">
        <f t="shared" si="26"/>
        <v>0</v>
      </c>
      <c r="S868" t="s">
        <v>497</v>
      </c>
      <c r="T868">
        <v>19</v>
      </c>
      <c r="U868" t="str">
        <f t="shared" si="27"/>
        <v>Abbey-Leigh Stringer:0</v>
      </c>
    </row>
    <row r="869" spans="1:21" x14ac:dyDescent="0.2">
      <c r="A869" t="s">
        <v>374</v>
      </c>
      <c r="B869" t="s">
        <v>652</v>
      </c>
      <c r="C869" t="s">
        <v>653</v>
      </c>
      <c r="D869" t="s">
        <v>42</v>
      </c>
      <c r="E869" t="s">
        <v>360</v>
      </c>
      <c r="F869">
        <v>23</v>
      </c>
      <c r="G869">
        <v>1995</v>
      </c>
      <c r="H869">
        <v>13</v>
      </c>
      <c r="I869">
        <v>13</v>
      </c>
      <c r="J869">
        <v>1069</v>
      </c>
      <c r="K869">
        <v>2</v>
      </c>
      <c r="L869">
        <v>0</v>
      </c>
      <c r="M869">
        <v>2</v>
      </c>
      <c r="N869">
        <v>0</v>
      </c>
      <c r="O869">
        <v>0</v>
      </c>
      <c r="P869">
        <v>1</v>
      </c>
      <c r="Q869">
        <v>0</v>
      </c>
      <c r="R869">
        <f t="shared" si="26"/>
        <v>2.0787859889824343E-5</v>
      </c>
      <c r="S869" t="s">
        <v>497</v>
      </c>
      <c r="T869">
        <v>7</v>
      </c>
      <c r="U869" t="str">
        <f t="shared" si="27"/>
        <v>Abbi Grant:0</v>
      </c>
    </row>
    <row r="870" spans="1:21" x14ac:dyDescent="0.2">
      <c r="A870" t="s">
        <v>215</v>
      </c>
      <c r="B870" t="s">
        <v>606</v>
      </c>
      <c r="C870" t="s">
        <v>607</v>
      </c>
      <c r="D870" t="s">
        <v>50</v>
      </c>
      <c r="E870" t="s">
        <v>52</v>
      </c>
      <c r="F870">
        <v>26</v>
      </c>
      <c r="G870">
        <v>1993</v>
      </c>
      <c r="H870">
        <v>11</v>
      </c>
      <c r="I870">
        <v>11</v>
      </c>
      <c r="J870">
        <v>990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2</v>
      </c>
      <c r="Q870">
        <v>0</v>
      </c>
      <c r="R870">
        <f t="shared" si="26"/>
        <v>0</v>
      </c>
      <c r="S870" t="s">
        <v>497</v>
      </c>
      <c r="T870">
        <v>23</v>
      </c>
      <c r="U870" t="str">
        <f t="shared" si="27"/>
        <v>Abbie McManus:0</v>
      </c>
    </row>
    <row r="871" spans="1:21" x14ac:dyDescent="0.2">
      <c r="A871" t="s">
        <v>450</v>
      </c>
      <c r="B871" t="s">
        <v>652</v>
      </c>
      <c r="C871" t="s">
        <v>653</v>
      </c>
      <c r="D871" t="s">
        <v>26</v>
      </c>
      <c r="E871" t="s">
        <v>426</v>
      </c>
      <c r="F871">
        <v>21</v>
      </c>
      <c r="G871">
        <v>1997</v>
      </c>
      <c r="H871">
        <v>6</v>
      </c>
      <c r="I871">
        <v>5</v>
      </c>
      <c r="J871">
        <v>355</v>
      </c>
      <c r="K871">
        <v>1</v>
      </c>
      <c r="L871">
        <v>0</v>
      </c>
      <c r="M871">
        <v>1</v>
      </c>
      <c r="N871">
        <v>0</v>
      </c>
      <c r="O871">
        <v>0</v>
      </c>
      <c r="P871">
        <v>1</v>
      </c>
      <c r="Q871">
        <v>0</v>
      </c>
      <c r="R871">
        <f t="shared" si="26"/>
        <v>3.1298904538341158E-5</v>
      </c>
      <c r="S871" t="s">
        <v>497</v>
      </c>
      <c r="T871">
        <v>9</v>
      </c>
      <c r="U871" t="str">
        <f t="shared" si="27"/>
        <v>Abigail Harrison:0</v>
      </c>
    </row>
    <row r="872" spans="1:21" x14ac:dyDescent="0.2">
      <c r="A872" t="s">
        <v>510</v>
      </c>
      <c r="B872" t="s">
        <v>656</v>
      </c>
      <c r="C872" t="s">
        <v>657</v>
      </c>
      <c r="D872" t="s">
        <v>42</v>
      </c>
      <c r="E872" t="s">
        <v>20</v>
      </c>
      <c r="F872">
        <v>24</v>
      </c>
      <c r="G872">
        <v>1994</v>
      </c>
      <c r="H872">
        <v>2</v>
      </c>
      <c r="I872">
        <v>1</v>
      </c>
      <c r="J872">
        <v>81</v>
      </c>
      <c r="K872">
        <v>1</v>
      </c>
      <c r="L872">
        <v>0</v>
      </c>
      <c r="M872">
        <v>1</v>
      </c>
      <c r="N872">
        <v>0</v>
      </c>
      <c r="O872">
        <v>0</v>
      </c>
      <c r="P872">
        <v>0</v>
      </c>
      <c r="Q872">
        <v>0</v>
      </c>
      <c r="R872">
        <f t="shared" si="26"/>
        <v>1.371742112482853E-4</v>
      </c>
      <c r="S872" t="s">
        <v>497</v>
      </c>
      <c r="T872">
        <v>39</v>
      </c>
      <c r="U872" t="str">
        <f t="shared" si="27"/>
        <v>Adelina Engman:0</v>
      </c>
    </row>
    <row r="873" spans="1:21" x14ac:dyDescent="0.2">
      <c r="A873" t="s">
        <v>196</v>
      </c>
      <c r="B873" t="s">
        <v>608</v>
      </c>
      <c r="C873" t="s">
        <v>609</v>
      </c>
      <c r="D873" t="s">
        <v>42</v>
      </c>
      <c r="E873" t="s">
        <v>24</v>
      </c>
      <c r="F873">
        <v>26</v>
      </c>
      <c r="G873">
        <v>1992</v>
      </c>
      <c r="H873">
        <v>11</v>
      </c>
      <c r="I873">
        <v>7</v>
      </c>
      <c r="J873">
        <v>641</v>
      </c>
      <c r="K873">
        <v>5</v>
      </c>
      <c r="L873">
        <v>0</v>
      </c>
      <c r="M873">
        <v>5</v>
      </c>
      <c r="N873">
        <v>0</v>
      </c>
      <c r="O873">
        <v>0</v>
      </c>
      <c r="P873">
        <v>1</v>
      </c>
      <c r="Q873">
        <v>0</v>
      </c>
      <c r="R873">
        <f t="shared" si="26"/>
        <v>8.6670133472005551E-5</v>
      </c>
      <c r="S873" t="s">
        <v>497</v>
      </c>
      <c r="T873">
        <v>16</v>
      </c>
      <c r="U873" t="str">
        <f t="shared" si="27"/>
        <v>Adriana Leon:0</v>
      </c>
    </row>
    <row r="874" spans="1:21" x14ac:dyDescent="0.2">
      <c r="A874" t="s">
        <v>519</v>
      </c>
      <c r="B874" t="s">
        <v>638</v>
      </c>
      <c r="C874" t="s">
        <v>639</v>
      </c>
      <c r="D874" t="s">
        <v>50</v>
      </c>
      <c r="E874" t="s">
        <v>360</v>
      </c>
      <c r="F874">
        <v>25</v>
      </c>
      <c r="G874">
        <v>1994</v>
      </c>
      <c r="H874">
        <v>13</v>
      </c>
      <c r="I874">
        <v>13</v>
      </c>
      <c r="J874">
        <v>1170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f t="shared" si="26"/>
        <v>0</v>
      </c>
      <c r="S874" t="s">
        <v>497</v>
      </c>
      <c r="T874">
        <v>7</v>
      </c>
      <c r="U874" t="str">
        <f t="shared" si="27"/>
        <v>Adrienne Jordan:0</v>
      </c>
    </row>
    <row r="875" spans="1:21" x14ac:dyDescent="0.2">
      <c r="A875" t="s">
        <v>325</v>
      </c>
      <c r="B875" t="s">
        <v>606</v>
      </c>
      <c r="C875" t="s">
        <v>607</v>
      </c>
      <c r="D875" t="s">
        <v>23</v>
      </c>
      <c r="E875" t="s">
        <v>48</v>
      </c>
      <c r="F875">
        <v>27</v>
      </c>
      <c r="G875">
        <v>1991</v>
      </c>
      <c r="H875">
        <v>16</v>
      </c>
      <c r="I875">
        <v>16</v>
      </c>
      <c r="J875">
        <v>1423</v>
      </c>
      <c r="K875">
        <v>5</v>
      </c>
      <c r="L875">
        <v>1</v>
      </c>
      <c r="M875">
        <v>5</v>
      </c>
      <c r="N875">
        <v>0</v>
      </c>
      <c r="O875">
        <v>0</v>
      </c>
      <c r="P875">
        <v>2</v>
      </c>
      <c r="Q875">
        <v>0</v>
      </c>
      <c r="R875">
        <f t="shared" si="26"/>
        <v>3.9041149371437495E-5</v>
      </c>
      <c r="S875" t="s">
        <v>497</v>
      </c>
      <c r="T875">
        <v>13</v>
      </c>
      <c r="U875" t="str">
        <f t="shared" si="27"/>
        <v>Aileen Whelan:1</v>
      </c>
    </row>
    <row r="876" spans="1:21" x14ac:dyDescent="0.2">
      <c r="A876" t="s">
        <v>194</v>
      </c>
      <c r="B876" t="s">
        <v>614</v>
      </c>
      <c r="C876" t="s">
        <v>615</v>
      </c>
      <c r="D876" t="s">
        <v>42</v>
      </c>
      <c r="E876" t="s">
        <v>24</v>
      </c>
      <c r="F876">
        <v>20</v>
      </c>
      <c r="G876">
        <v>1999</v>
      </c>
      <c r="H876">
        <v>13</v>
      </c>
      <c r="I876">
        <v>11</v>
      </c>
      <c r="J876">
        <v>966</v>
      </c>
      <c r="K876">
        <v>3</v>
      </c>
      <c r="L876">
        <v>2</v>
      </c>
      <c r="M876">
        <v>3</v>
      </c>
      <c r="N876">
        <v>0</v>
      </c>
      <c r="O876">
        <v>0</v>
      </c>
      <c r="P876">
        <v>1</v>
      </c>
      <c r="Q876">
        <v>0</v>
      </c>
      <c r="R876">
        <f t="shared" si="26"/>
        <v>3.4506556245686676E-5</v>
      </c>
      <c r="S876" t="s">
        <v>497</v>
      </c>
      <c r="T876">
        <v>16</v>
      </c>
      <c r="U876" t="str">
        <f t="shared" si="27"/>
        <v>Alisha Lehmann:2</v>
      </c>
    </row>
    <row r="877" spans="1:21" x14ac:dyDescent="0.2">
      <c r="A877" t="s">
        <v>110</v>
      </c>
      <c r="B877" t="s">
        <v>618</v>
      </c>
      <c r="C877" t="s">
        <v>619</v>
      </c>
      <c r="D877" t="s">
        <v>42</v>
      </c>
      <c r="E877" t="s">
        <v>35</v>
      </c>
      <c r="F877">
        <v>23</v>
      </c>
      <c r="G877">
        <v>1995</v>
      </c>
      <c r="H877">
        <v>14</v>
      </c>
      <c r="I877">
        <v>12</v>
      </c>
      <c r="J877">
        <v>1097</v>
      </c>
      <c r="K877">
        <v>2</v>
      </c>
      <c r="L877">
        <v>2</v>
      </c>
      <c r="M877">
        <v>2</v>
      </c>
      <c r="N877">
        <v>0</v>
      </c>
      <c r="O877">
        <v>0</v>
      </c>
      <c r="P877">
        <v>2</v>
      </c>
      <c r="Q877">
        <v>0</v>
      </c>
      <c r="R877">
        <f t="shared" si="26"/>
        <v>2.0257267294641952E-5</v>
      </c>
      <c r="S877" t="s">
        <v>497</v>
      </c>
      <c r="T877">
        <v>21</v>
      </c>
      <c r="U877" t="str">
        <f t="shared" si="27"/>
        <v>Amalie Eikeland:2</v>
      </c>
    </row>
    <row r="878" spans="1:21" x14ac:dyDescent="0.2">
      <c r="A878" t="s">
        <v>529</v>
      </c>
      <c r="B878" t="s">
        <v>658</v>
      </c>
      <c r="C878" t="s">
        <v>659</v>
      </c>
      <c r="D878" t="s">
        <v>23</v>
      </c>
      <c r="E878" t="s">
        <v>48</v>
      </c>
      <c r="F878">
        <v>20</v>
      </c>
      <c r="G878">
        <v>1998</v>
      </c>
      <c r="H878">
        <v>10</v>
      </c>
      <c r="I878">
        <v>5</v>
      </c>
      <c r="J878">
        <v>403</v>
      </c>
      <c r="K878">
        <v>0</v>
      </c>
      <c r="L878">
        <v>1</v>
      </c>
      <c r="M878">
        <v>0</v>
      </c>
      <c r="N878">
        <v>0</v>
      </c>
      <c r="O878">
        <v>0</v>
      </c>
      <c r="P878">
        <v>1</v>
      </c>
      <c r="Q878">
        <v>0</v>
      </c>
      <c r="R878">
        <f t="shared" si="26"/>
        <v>0</v>
      </c>
      <c r="S878" t="s">
        <v>497</v>
      </c>
      <c r="T878">
        <v>13</v>
      </c>
      <c r="U878" t="str">
        <f t="shared" si="27"/>
        <v>Amanda Nildén:1</v>
      </c>
    </row>
    <row r="879" spans="1:21" x14ac:dyDescent="0.2">
      <c r="A879" t="s">
        <v>534</v>
      </c>
      <c r="B879" t="s">
        <v>652</v>
      </c>
      <c r="C879" t="s">
        <v>653</v>
      </c>
      <c r="D879" t="s">
        <v>34</v>
      </c>
      <c r="E879" t="s">
        <v>65</v>
      </c>
      <c r="F879">
        <v>19</v>
      </c>
      <c r="G879">
        <v>2000</v>
      </c>
      <c r="H879">
        <v>3</v>
      </c>
      <c r="I879">
        <v>3</v>
      </c>
      <c r="J879">
        <v>231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f t="shared" si="26"/>
        <v>0</v>
      </c>
      <c r="S879" t="s">
        <v>497</v>
      </c>
      <c r="T879">
        <v>6</v>
      </c>
      <c r="U879" t="str">
        <f t="shared" si="27"/>
        <v>Amy Rodgers:0</v>
      </c>
    </row>
    <row r="880" spans="1:21" x14ac:dyDescent="0.2">
      <c r="A880" t="s">
        <v>308</v>
      </c>
      <c r="B880" t="s">
        <v>606</v>
      </c>
      <c r="C880" t="s">
        <v>607</v>
      </c>
      <c r="D880" t="s">
        <v>50</v>
      </c>
      <c r="E880" t="s">
        <v>52</v>
      </c>
      <c r="F880">
        <v>28</v>
      </c>
      <c r="G880">
        <v>1991</v>
      </c>
      <c r="H880">
        <v>13</v>
      </c>
      <c r="I880">
        <v>11</v>
      </c>
      <c r="J880">
        <v>1070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2</v>
      </c>
      <c r="Q880">
        <v>0</v>
      </c>
      <c r="R880">
        <f t="shared" si="26"/>
        <v>0</v>
      </c>
      <c r="S880" t="s">
        <v>497</v>
      </c>
      <c r="T880">
        <v>23</v>
      </c>
      <c r="U880" t="str">
        <f t="shared" si="27"/>
        <v>Amy Turner:0</v>
      </c>
    </row>
    <row r="881" spans="1:21" x14ac:dyDescent="0.2">
      <c r="A881" t="s">
        <v>340</v>
      </c>
      <c r="B881" t="s">
        <v>606</v>
      </c>
      <c r="C881" t="s">
        <v>607</v>
      </c>
      <c r="D881" t="s">
        <v>42</v>
      </c>
      <c r="E881" t="s">
        <v>30</v>
      </c>
      <c r="F881">
        <v>19</v>
      </c>
      <c r="G881">
        <v>1999</v>
      </c>
      <c r="H881">
        <v>7</v>
      </c>
      <c r="I881">
        <v>2</v>
      </c>
      <c r="J881">
        <v>202</v>
      </c>
      <c r="K881">
        <v>1</v>
      </c>
      <c r="L881">
        <v>1</v>
      </c>
      <c r="M881">
        <v>1</v>
      </c>
      <c r="N881">
        <v>0</v>
      </c>
      <c r="O881">
        <v>0</v>
      </c>
      <c r="P881">
        <v>0</v>
      </c>
      <c r="Q881">
        <v>0</v>
      </c>
      <c r="R881">
        <f t="shared" si="26"/>
        <v>5.5005500550055004E-5</v>
      </c>
      <c r="S881" t="s">
        <v>497</v>
      </c>
      <c r="T881">
        <v>20</v>
      </c>
      <c r="U881" t="str">
        <f t="shared" si="27"/>
        <v>Angela Addison:1</v>
      </c>
    </row>
    <row r="882" spans="1:21" x14ac:dyDescent="0.2">
      <c r="A882" t="s">
        <v>169</v>
      </c>
      <c r="B882" t="s">
        <v>624</v>
      </c>
      <c r="C882" t="s">
        <v>625</v>
      </c>
      <c r="D882" t="s">
        <v>94</v>
      </c>
      <c r="E882" t="s">
        <v>35</v>
      </c>
      <c r="F882">
        <v>25</v>
      </c>
      <c r="G882">
        <v>1994</v>
      </c>
      <c r="H882">
        <v>14</v>
      </c>
      <c r="I882">
        <v>13</v>
      </c>
      <c r="J882">
        <v>1133</v>
      </c>
      <c r="K882">
        <v>1</v>
      </c>
      <c r="L882">
        <v>1</v>
      </c>
      <c r="M882">
        <v>1</v>
      </c>
      <c r="N882">
        <v>0</v>
      </c>
      <c r="O882">
        <v>0</v>
      </c>
      <c r="P882">
        <v>2</v>
      </c>
      <c r="Q882">
        <v>0</v>
      </c>
      <c r="R882">
        <f t="shared" si="26"/>
        <v>9.8068059233107775E-6</v>
      </c>
      <c r="S882" t="s">
        <v>497</v>
      </c>
      <c r="T882">
        <v>21</v>
      </c>
      <c r="U882" t="str">
        <f t="shared" si="27"/>
        <v>Angharad James:1</v>
      </c>
    </row>
    <row r="883" spans="1:21" x14ac:dyDescent="0.2">
      <c r="A883" t="s">
        <v>532</v>
      </c>
      <c r="B883" t="s">
        <v>630</v>
      </c>
      <c r="C883" t="s">
        <v>631</v>
      </c>
      <c r="D883" t="s">
        <v>40</v>
      </c>
      <c r="E883" t="s">
        <v>65</v>
      </c>
      <c r="F883">
        <v>26</v>
      </c>
      <c r="G883">
        <v>1992</v>
      </c>
      <c r="H883">
        <v>10</v>
      </c>
      <c r="I883">
        <v>10</v>
      </c>
      <c r="J883">
        <v>900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f t="shared" si="26"/>
        <v>0</v>
      </c>
      <c r="S883" t="s">
        <v>497</v>
      </c>
      <c r="T883">
        <v>6</v>
      </c>
      <c r="U883" t="str">
        <f t="shared" si="27"/>
        <v>Anke Preuß:0</v>
      </c>
    </row>
    <row r="884" spans="1:21" x14ac:dyDescent="0.2">
      <c r="A884" t="s">
        <v>439</v>
      </c>
      <c r="B884" t="s">
        <v>624</v>
      </c>
      <c r="C884" t="s">
        <v>625</v>
      </c>
      <c r="D884" t="s">
        <v>50</v>
      </c>
      <c r="E884" t="s">
        <v>30</v>
      </c>
      <c r="F884">
        <v>19</v>
      </c>
      <c r="G884">
        <v>1999</v>
      </c>
      <c r="H884">
        <v>13</v>
      </c>
      <c r="I884">
        <v>13</v>
      </c>
      <c r="J884">
        <v>1152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f t="shared" si="26"/>
        <v>0</v>
      </c>
      <c r="S884" t="s">
        <v>497</v>
      </c>
      <c r="T884">
        <v>20</v>
      </c>
      <c r="U884" t="str">
        <f t="shared" si="27"/>
        <v>Anna Filbey:0</v>
      </c>
    </row>
    <row r="885" spans="1:21" x14ac:dyDescent="0.2">
      <c r="A885" t="s">
        <v>527</v>
      </c>
      <c r="B885" t="s">
        <v>606</v>
      </c>
      <c r="C885" t="s">
        <v>607</v>
      </c>
      <c r="D885" t="s">
        <v>40</v>
      </c>
      <c r="E885" t="s">
        <v>24</v>
      </c>
      <c r="F885">
        <v>24</v>
      </c>
      <c r="G885">
        <v>1995</v>
      </c>
      <c r="H885">
        <v>4</v>
      </c>
      <c r="I885">
        <v>4</v>
      </c>
      <c r="J885">
        <v>360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f t="shared" si="26"/>
        <v>0</v>
      </c>
      <c r="S885" t="s">
        <v>497</v>
      </c>
      <c r="T885">
        <v>16</v>
      </c>
      <c r="U885" t="str">
        <f t="shared" si="27"/>
        <v>Anna Moorhouse:0</v>
      </c>
    </row>
    <row r="886" spans="1:21" x14ac:dyDescent="0.2">
      <c r="A886" t="s">
        <v>57</v>
      </c>
      <c r="B886" t="s">
        <v>630</v>
      </c>
      <c r="C886" t="s">
        <v>631</v>
      </c>
      <c r="D886" t="s">
        <v>40</v>
      </c>
      <c r="E886" t="s">
        <v>20</v>
      </c>
      <c r="F886">
        <v>28</v>
      </c>
      <c r="G886">
        <v>1990</v>
      </c>
      <c r="H886">
        <v>13</v>
      </c>
      <c r="I886">
        <v>13</v>
      </c>
      <c r="J886">
        <v>1170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f t="shared" si="26"/>
        <v>0</v>
      </c>
      <c r="S886" t="s">
        <v>497</v>
      </c>
      <c r="T886">
        <v>39</v>
      </c>
      <c r="U886" t="str">
        <f t="shared" si="27"/>
        <v>Ann-Katrin Berger:0</v>
      </c>
    </row>
    <row r="887" spans="1:21" x14ac:dyDescent="0.2">
      <c r="A887" t="s">
        <v>208</v>
      </c>
      <c r="B887" t="s">
        <v>632</v>
      </c>
      <c r="C887" t="s">
        <v>633</v>
      </c>
      <c r="D887" t="s">
        <v>50</v>
      </c>
      <c r="E887" t="s">
        <v>32</v>
      </c>
      <c r="F887">
        <v>23</v>
      </c>
      <c r="G887">
        <v>1995</v>
      </c>
      <c r="H887">
        <v>4</v>
      </c>
      <c r="I887">
        <v>4</v>
      </c>
      <c r="J887">
        <v>356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1</v>
      </c>
      <c r="Q887">
        <v>0</v>
      </c>
      <c r="R887">
        <f t="shared" si="26"/>
        <v>0</v>
      </c>
      <c r="S887" t="s">
        <v>497</v>
      </c>
      <c r="T887">
        <v>40</v>
      </c>
      <c r="U887" t="str">
        <f t="shared" si="27"/>
        <v>Aoife Mannion:0</v>
      </c>
    </row>
    <row r="888" spans="1:21" x14ac:dyDescent="0.2">
      <c r="A888" t="s">
        <v>228</v>
      </c>
      <c r="B888" t="s">
        <v>606</v>
      </c>
      <c r="C888" t="s">
        <v>607</v>
      </c>
      <c r="D888" t="s">
        <v>50</v>
      </c>
      <c r="E888" t="s">
        <v>30</v>
      </c>
      <c r="F888">
        <v>26</v>
      </c>
      <c r="G888">
        <v>1993</v>
      </c>
      <c r="H888">
        <v>13</v>
      </c>
      <c r="I888">
        <v>12</v>
      </c>
      <c r="J888">
        <v>1092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2</v>
      </c>
      <c r="Q888">
        <v>0</v>
      </c>
      <c r="R888">
        <f t="shared" si="26"/>
        <v>0</v>
      </c>
      <c r="S888" t="s">
        <v>497</v>
      </c>
      <c r="T888">
        <v>20</v>
      </c>
      <c r="U888" t="str">
        <f t="shared" si="27"/>
        <v>Ashleigh Neville:0</v>
      </c>
    </row>
    <row r="889" spans="1:21" x14ac:dyDescent="0.2">
      <c r="A889" t="s">
        <v>516</v>
      </c>
      <c r="B889" t="s">
        <v>606</v>
      </c>
      <c r="C889" t="s">
        <v>607</v>
      </c>
      <c r="D889" t="s">
        <v>42</v>
      </c>
      <c r="E889" t="s">
        <v>65</v>
      </c>
      <c r="F889">
        <v>24</v>
      </c>
      <c r="G889">
        <v>1995</v>
      </c>
      <c r="H889">
        <v>13</v>
      </c>
      <c r="I889">
        <v>2</v>
      </c>
      <c r="J889">
        <v>252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f t="shared" si="26"/>
        <v>0</v>
      </c>
      <c r="S889" t="s">
        <v>497</v>
      </c>
      <c r="T889">
        <v>6</v>
      </c>
      <c r="U889" t="str">
        <f t="shared" si="27"/>
        <v>Ashley Hodson:0</v>
      </c>
    </row>
    <row r="890" spans="1:21" x14ac:dyDescent="0.2">
      <c r="A890" t="s">
        <v>216</v>
      </c>
      <c r="B890" t="s">
        <v>606</v>
      </c>
      <c r="C890" t="s">
        <v>607</v>
      </c>
      <c r="D890" t="s">
        <v>26</v>
      </c>
      <c r="E890" t="s">
        <v>27</v>
      </c>
      <c r="F890">
        <v>24</v>
      </c>
      <c r="G890">
        <v>1995</v>
      </c>
      <c r="H890">
        <v>14</v>
      </c>
      <c r="I890">
        <v>11</v>
      </c>
      <c r="J890">
        <v>976</v>
      </c>
      <c r="K890">
        <v>3</v>
      </c>
      <c r="L890">
        <v>3</v>
      </c>
      <c r="M890">
        <v>3</v>
      </c>
      <c r="N890">
        <v>0</v>
      </c>
      <c r="O890">
        <v>0</v>
      </c>
      <c r="P890">
        <v>2</v>
      </c>
      <c r="Q890">
        <v>0</v>
      </c>
      <c r="R890">
        <f t="shared" si="26"/>
        <v>3.4153005464480874E-5</v>
      </c>
      <c r="S890" t="s">
        <v>497</v>
      </c>
      <c r="T890">
        <v>36</v>
      </c>
      <c r="U890" t="str">
        <f t="shared" si="27"/>
        <v>Beth Mead:3</v>
      </c>
    </row>
    <row r="891" spans="1:21" x14ac:dyDescent="0.2">
      <c r="A891" t="s">
        <v>111</v>
      </c>
      <c r="B891" t="s">
        <v>606</v>
      </c>
      <c r="C891" t="s">
        <v>607</v>
      </c>
      <c r="D891" t="s">
        <v>26</v>
      </c>
      <c r="E891" t="s">
        <v>20</v>
      </c>
      <c r="F891">
        <v>25</v>
      </c>
      <c r="G891">
        <v>1994</v>
      </c>
      <c r="H891">
        <v>15</v>
      </c>
      <c r="I891">
        <v>15</v>
      </c>
      <c r="J891">
        <v>1320</v>
      </c>
      <c r="K891">
        <v>14</v>
      </c>
      <c r="L891">
        <v>4</v>
      </c>
      <c r="M891">
        <v>14</v>
      </c>
      <c r="N891">
        <v>0</v>
      </c>
      <c r="O891">
        <v>0</v>
      </c>
      <c r="P891">
        <v>0</v>
      </c>
      <c r="Q891">
        <v>0</v>
      </c>
      <c r="R891">
        <f t="shared" si="26"/>
        <v>1.1784511784511785E-4</v>
      </c>
      <c r="S891" t="s">
        <v>497</v>
      </c>
      <c r="T891">
        <v>39</v>
      </c>
      <c r="U891" t="str">
        <f t="shared" si="27"/>
        <v>Bethany England:4</v>
      </c>
    </row>
    <row r="892" spans="1:21" x14ac:dyDescent="0.2">
      <c r="A892" t="s">
        <v>316</v>
      </c>
      <c r="B892" t="s">
        <v>638</v>
      </c>
      <c r="C892" t="s">
        <v>639</v>
      </c>
      <c r="D892" t="s">
        <v>23</v>
      </c>
      <c r="E892" t="s">
        <v>360</v>
      </c>
      <c r="F892">
        <v>24</v>
      </c>
      <c r="G892">
        <v>1995</v>
      </c>
      <c r="H892">
        <v>9</v>
      </c>
      <c r="I892">
        <v>7</v>
      </c>
      <c r="J892">
        <v>624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f t="shared" si="26"/>
        <v>0</v>
      </c>
      <c r="S892" t="s">
        <v>497</v>
      </c>
      <c r="T892">
        <v>7</v>
      </c>
      <c r="U892" t="str">
        <f t="shared" si="27"/>
        <v>Brianna Visalli:0</v>
      </c>
    </row>
    <row r="893" spans="1:21" x14ac:dyDescent="0.2">
      <c r="A893" t="s">
        <v>356</v>
      </c>
      <c r="B893" t="s">
        <v>606</v>
      </c>
      <c r="C893" t="s">
        <v>607</v>
      </c>
      <c r="D893" t="s">
        <v>26</v>
      </c>
      <c r="E893" t="s">
        <v>35</v>
      </c>
      <c r="F893">
        <v>30</v>
      </c>
      <c r="G893">
        <v>1989</v>
      </c>
      <c r="H893">
        <v>14</v>
      </c>
      <c r="I893">
        <v>13</v>
      </c>
      <c r="J893">
        <v>1003</v>
      </c>
      <c r="K893">
        <v>3</v>
      </c>
      <c r="L893">
        <v>1</v>
      </c>
      <c r="M893">
        <v>3</v>
      </c>
      <c r="N893">
        <v>0</v>
      </c>
      <c r="O893">
        <v>0</v>
      </c>
      <c r="P893">
        <v>0</v>
      </c>
      <c r="Q893">
        <v>0</v>
      </c>
      <c r="R893">
        <f t="shared" si="26"/>
        <v>3.323363243602526E-5</v>
      </c>
      <c r="S893" t="s">
        <v>497</v>
      </c>
      <c r="T893">
        <v>21</v>
      </c>
      <c r="U893" t="str">
        <f t="shared" si="27"/>
        <v>Brooke Chaplen:1</v>
      </c>
    </row>
    <row r="894" spans="1:21" x14ac:dyDescent="0.2">
      <c r="A894" t="s">
        <v>155</v>
      </c>
      <c r="B894" t="s">
        <v>638</v>
      </c>
      <c r="C894" t="s">
        <v>639</v>
      </c>
      <c r="D894" t="s">
        <v>50</v>
      </c>
      <c r="E894" t="s">
        <v>24</v>
      </c>
      <c r="F894">
        <v>26</v>
      </c>
      <c r="G894">
        <v>1993</v>
      </c>
      <c r="H894">
        <v>7</v>
      </c>
      <c r="I894">
        <v>4</v>
      </c>
      <c r="J894">
        <v>403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1</v>
      </c>
      <c r="Q894">
        <v>0</v>
      </c>
      <c r="R894">
        <f t="shared" si="26"/>
        <v>0</v>
      </c>
      <c r="S894" t="s">
        <v>497</v>
      </c>
      <c r="T894">
        <v>16</v>
      </c>
      <c r="U894" t="str">
        <f t="shared" si="27"/>
        <v>Brooke Hendrix:0</v>
      </c>
    </row>
    <row r="895" spans="1:21" x14ac:dyDescent="0.2">
      <c r="A895" t="s">
        <v>164</v>
      </c>
      <c r="B895" t="s">
        <v>606</v>
      </c>
      <c r="C895" t="s">
        <v>607</v>
      </c>
      <c r="D895" t="s">
        <v>34</v>
      </c>
      <c r="E895" t="s">
        <v>426</v>
      </c>
      <c r="F895">
        <v>22</v>
      </c>
      <c r="G895">
        <v>1996</v>
      </c>
      <c r="H895">
        <v>8</v>
      </c>
      <c r="I895">
        <v>8</v>
      </c>
      <c r="J895">
        <v>686</v>
      </c>
      <c r="K895">
        <v>0</v>
      </c>
      <c r="L895">
        <v>2</v>
      </c>
      <c r="M895">
        <v>0</v>
      </c>
      <c r="N895">
        <v>0</v>
      </c>
      <c r="O895">
        <v>0</v>
      </c>
      <c r="P895">
        <v>0</v>
      </c>
      <c r="Q895">
        <v>0</v>
      </c>
      <c r="R895">
        <f t="shared" si="26"/>
        <v>0</v>
      </c>
      <c r="S895" t="s">
        <v>497</v>
      </c>
      <c r="T895">
        <v>9</v>
      </c>
      <c r="U895" t="str">
        <f t="shared" si="27"/>
        <v>Carla Humphrey:2</v>
      </c>
    </row>
    <row r="896" spans="1:21" x14ac:dyDescent="0.2">
      <c r="A896" t="s">
        <v>487</v>
      </c>
      <c r="B896" t="s">
        <v>606</v>
      </c>
      <c r="C896" t="s">
        <v>607</v>
      </c>
      <c r="D896" t="s">
        <v>40</v>
      </c>
      <c r="E896" t="s">
        <v>20</v>
      </c>
      <c r="F896">
        <v>32</v>
      </c>
      <c r="G896">
        <v>1987</v>
      </c>
      <c r="H896">
        <v>2</v>
      </c>
      <c r="I896">
        <v>2</v>
      </c>
      <c r="J896">
        <v>180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f t="shared" si="26"/>
        <v>0</v>
      </c>
      <c r="S896" t="s">
        <v>497</v>
      </c>
      <c r="T896">
        <v>39</v>
      </c>
      <c r="U896" t="str">
        <f t="shared" si="27"/>
        <v>Carly Telford:0</v>
      </c>
    </row>
    <row r="897" spans="1:21" x14ac:dyDescent="0.2">
      <c r="A897" t="s">
        <v>417</v>
      </c>
      <c r="B897" t="s">
        <v>652</v>
      </c>
      <c r="C897" t="s">
        <v>653</v>
      </c>
      <c r="D897" t="s">
        <v>34</v>
      </c>
      <c r="E897" t="s">
        <v>32</v>
      </c>
      <c r="F897">
        <v>24</v>
      </c>
      <c r="G897">
        <v>1995</v>
      </c>
      <c r="H897">
        <v>16</v>
      </c>
      <c r="I897">
        <v>16</v>
      </c>
      <c r="J897">
        <v>1440</v>
      </c>
      <c r="K897">
        <v>3</v>
      </c>
      <c r="L897">
        <v>5</v>
      </c>
      <c r="M897">
        <v>3</v>
      </c>
      <c r="N897">
        <v>0</v>
      </c>
      <c r="O897">
        <v>0</v>
      </c>
      <c r="P897">
        <v>1</v>
      </c>
      <c r="Q897">
        <v>0</v>
      </c>
      <c r="R897">
        <f t="shared" si="26"/>
        <v>2.3148148148148147E-5</v>
      </c>
      <c r="S897" t="s">
        <v>497</v>
      </c>
      <c r="T897">
        <v>40</v>
      </c>
      <c r="U897" t="str">
        <f t="shared" si="27"/>
        <v>Caroline Weir:5</v>
      </c>
    </row>
    <row r="898" spans="1:21" x14ac:dyDescent="0.2">
      <c r="A898" t="s">
        <v>456</v>
      </c>
      <c r="B898" t="s">
        <v>618</v>
      </c>
      <c r="C898" t="s">
        <v>619</v>
      </c>
      <c r="D898" t="s">
        <v>50</v>
      </c>
      <c r="E898" t="s">
        <v>24</v>
      </c>
      <c r="F898">
        <v>23</v>
      </c>
      <c r="G898">
        <v>1995</v>
      </c>
      <c r="H898">
        <v>13</v>
      </c>
      <c r="I898">
        <v>10</v>
      </c>
      <c r="J898">
        <v>975</v>
      </c>
      <c r="K898">
        <v>0</v>
      </c>
      <c r="L898">
        <v>1</v>
      </c>
      <c r="M898">
        <v>0</v>
      </c>
      <c r="N898">
        <v>0</v>
      </c>
      <c r="O898">
        <v>0</v>
      </c>
      <c r="P898">
        <v>3</v>
      </c>
      <c r="Q898">
        <v>0</v>
      </c>
      <c r="R898">
        <f t="shared" si="26"/>
        <v>0</v>
      </c>
      <c r="S898" t="s">
        <v>497</v>
      </c>
      <c r="T898">
        <v>16</v>
      </c>
      <c r="U898" t="str">
        <f t="shared" si="27"/>
        <v>Cecilie Kvamme:1</v>
      </c>
    </row>
    <row r="899" spans="1:21" x14ac:dyDescent="0.2">
      <c r="A899" t="s">
        <v>68</v>
      </c>
      <c r="B899" t="s">
        <v>606</v>
      </c>
      <c r="C899" t="s">
        <v>607</v>
      </c>
      <c r="D899" t="s">
        <v>26</v>
      </c>
      <c r="E899" t="s">
        <v>55</v>
      </c>
      <c r="F899">
        <v>23</v>
      </c>
      <c r="G899">
        <v>1995</v>
      </c>
      <c r="H899">
        <v>10</v>
      </c>
      <c r="I899">
        <v>6</v>
      </c>
      <c r="J899">
        <v>616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f t="shared" ref="R899:R962" si="28">K899/J899/90</f>
        <v>0</v>
      </c>
      <c r="S899" t="s">
        <v>497</v>
      </c>
      <c r="T899">
        <v>19</v>
      </c>
      <c r="U899" t="str">
        <f t="shared" ref="U899:U962" si="29">CONCATENATE(A899, ":", L899)</f>
        <v>Chantelle Boye-Hlorkah:0</v>
      </c>
    </row>
    <row r="900" spans="1:21" x14ac:dyDescent="0.2">
      <c r="A900" t="s">
        <v>323</v>
      </c>
      <c r="B900" t="s">
        <v>606</v>
      </c>
      <c r="C900" t="s">
        <v>607</v>
      </c>
      <c r="D900" t="s">
        <v>42</v>
      </c>
      <c r="E900" t="s">
        <v>426</v>
      </c>
      <c r="F900">
        <v>21</v>
      </c>
      <c r="G900">
        <v>1998</v>
      </c>
      <c r="H900">
        <v>13</v>
      </c>
      <c r="I900">
        <v>13</v>
      </c>
      <c r="J900">
        <v>1156</v>
      </c>
      <c r="K900">
        <v>1</v>
      </c>
      <c r="L900">
        <v>0</v>
      </c>
      <c r="M900">
        <v>1</v>
      </c>
      <c r="N900">
        <v>0</v>
      </c>
      <c r="O900">
        <v>1</v>
      </c>
      <c r="P900">
        <v>0</v>
      </c>
      <c r="Q900">
        <v>0</v>
      </c>
      <c r="R900">
        <f t="shared" si="28"/>
        <v>9.6116878123798545E-6</v>
      </c>
      <c r="S900" t="s">
        <v>497</v>
      </c>
      <c r="T900">
        <v>9</v>
      </c>
      <c r="U900" t="str">
        <f t="shared" si="29"/>
        <v>Charlie Wellings:0</v>
      </c>
    </row>
    <row r="901" spans="1:21" x14ac:dyDescent="0.2">
      <c r="A901" t="s">
        <v>343</v>
      </c>
      <c r="B901" t="s">
        <v>652</v>
      </c>
      <c r="C901" t="s">
        <v>653</v>
      </c>
      <c r="D901" t="s">
        <v>34</v>
      </c>
      <c r="E901" t="s">
        <v>360</v>
      </c>
      <c r="F901">
        <v>24</v>
      </c>
      <c r="G901">
        <v>1995</v>
      </c>
      <c r="H901">
        <v>12</v>
      </c>
      <c r="I901">
        <v>12</v>
      </c>
      <c r="J901">
        <v>1067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1</v>
      </c>
      <c r="Q901">
        <v>0</v>
      </c>
      <c r="R901">
        <f t="shared" si="28"/>
        <v>0</v>
      </c>
      <c r="S901" t="s">
        <v>497</v>
      </c>
      <c r="T901">
        <v>7</v>
      </c>
      <c r="U901" t="str">
        <f t="shared" si="29"/>
        <v>Chloe Arthur:0</v>
      </c>
    </row>
    <row r="902" spans="1:21" x14ac:dyDescent="0.2">
      <c r="A902" t="s">
        <v>177</v>
      </c>
      <c r="B902" t="s">
        <v>606</v>
      </c>
      <c r="C902" t="s">
        <v>607</v>
      </c>
      <c r="D902" t="s">
        <v>26</v>
      </c>
      <c r="E902" t="s">
        <v>55</v>
      </c>
      <c r="F902">
        <v>21</v>
      </c>
      <c r="G902">
        <v>1998</v>
      </c>
      <c r="H902">
        <v>12</v>
      </c>
      <c r="I902">
        <v>12</v>
      </c>
      <c r="J902">
        <v>1065</v>
      </c>
      <c r="K902">
        <v>9</v>
      </c>
      <c r="L902">
        <v>1</v>
      </c>
      <c r="M902">
        <v>9</v>
      </c>
      <c r="N902">
        <v>0</v>
      </c>
      <c r="O902">
        <v>0</v>
      </c>
      <c r="P902">
        <v>2</v>
      </c>
      <c r="Q902">
        <v>0</v>
      </c>
      <c r="R902">
        <f t="shared" si="28"/>
        <v>9.3896713615023461E-5</v>
      </c>
      <c r="S902" t="s">
        <v>497</v>
      </c>
      <c r="T902">
        <v>19</v>
      </c>
      <c r="U902" t="str">
        <f t="shared" si="29"/>
        <v>Chloe Kelly:1</v>
      </c>
    </row>
    <row r="903" spans="1:21" x14ac:dyDescent="0.2">
      <c r="A903" t="s">
        <v>461</v>
      </c>
      <c r="B903" t="s">
        <v>612</v>
      </c>
      <c r="C903" t="s">
        <v>613</v>
      </c>
      <c r="D903" t="s">
        <v>34</v>
      </c>
      <c r="E903" t="s">
        <v>426</v>
      </c>
      <c r="F903">
        <v>24</v>
      </c>
      <c r="G903">
        <v>1994</v>
      </c>
      <c r="H903">
        <v>1</v>
      </c>
      <c r="I903">
        <v>1</v>
      </c>
      <c r="J903">
        <v>90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f t="shared" si="28"/>
        <v>0</v>
      </c>
      <c r="S903" t="s">
        <v>497</v>
      </c>
      <c r="T903">
        <v>9</v>
      </c>
      <c r="U903" t="str">
        <f t="shared" si="29"/>
        <v>Chloe Logarzo:0</v>
      </c>
    </row>
    <row r="904" spans="1:21" x14ac:dyDescent="0.2">
      <c r="A904" t="s">
        <v>397</v>
      </c>
      <c r="B904" t="s">
        <v>606</v>
      </c>
      <c r="C904" t="s">
        <v>607</v>
      </c>
      <c r="D904" t="s">
        <v>34</v>
      </c>
      <c r="E904" t="s">
        <v>30</v>
      </c>
      <c r="F904">
        <v>20</v>
      </c>
      <c r="G904">
        <v>1998</v>
      </c>
      <c r="H904">
        <v>12</v>
      </c>
      <c r="I904">
        <v>10</v>
      </c>
      <c r="J904">
        <v>820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3</v>
      </c>
      <c r="Q904">
        <v>0</v>
      </c>
      <c r="R904">
        <f t="shared" si="28"/>
        <v>0</v>
      </c>
      <c r="S904" t="s">
        <v>497</v>
      </c>
      <c r="T904">
        <v>20</v>
      </c>
      <c r="U904" t="str">
        <f t="shared" si="29"/>
        <v>Chloe Peplow:0</v>
      </c>
    </row>
    <row r="905" spans="1:21" x14ac:dyDescent="0.2">
      <c r="A905" t="s">
        <v>284</v>
      </c>
      <c r="B905" t="s">
        <v>640</v>
      </c>
      <c r="C905" t="s">
        <v>641</v>
      </c>
      <c r="D905" t="s">
        <v>34</v>
      </c>
      <c r="E905" t="s">
        <v>24</v>
      </c>
      <c r="F905">
        <v>31</v>
      </c>
      <c r="G905">
        <v>1988</v>
      </c>
      <c r="H905">
        <v>8</v>
      </c>
      <c r="I905">
        <v>6</v>
      </c>
      <c r="J905">
        <v>547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f t="shared" si="28"/>
        <v>0</v>
      </c>
      <c r="S905" t="s">
        <v>497</v>
      </c>
      <c r="T905">
        <v>16</v>
      </c>
      <c r="U905" t="str">
        <f t="shared" si="29"/>
        <v>Cho So-hyun:0</v>
      </c>
    </row>
    <row r="906" spans="1:21" x14ac:dyDescent="0.2">
      <c r="A906" t="s">
        <v>393</v>
      </c>
      <c r="B906" t="s">
        <v>652</v>
      </c>
      <c r="C906" t="s">
        <v>653</v>
      </c>
      <c r="D906" t="s">
        <v>34</v>
      </c>
      <c r="E906" t="s">
        <v>65</v>
      </c>
      <c r="F906">
        <v>29</v>
      </c>
      <c r="G906">
        <v>1990</v>
      </c>
      <c r="H906">
        <v>6</v>
      </c>
      <c r="I906">
        <v>0</v>
      </c>
      <c r="J906">
        <v>86</v>
      </c>
      <c r="K906">
        <v>0</v>
      </c>
      <c r="L906">
        <v>1</v>
      </c>
      <c r="M906">
        <v>0</v>
      </c>
      <c r="N906">
        <v>0</v>
      </c>
      <c r="O906">
        <v>0</v>
      </c>
      <c r="P906">
        <v>0</v>
      </c>
      <c r="Q906">
        <v>0</v>
      </c>
      <c r="R906">
        <f t="shared" si="28"/>
        <v>0</v>
      </c>
      <c r="S906" t="s">
        <v>497</v>
      </c>
      <c r="T906">
        <v>6</v>
      </c>
      <c r="U906" t="str">
        <f t="shared" si="29"/>
        <v>Christie Murray:1</v>
      </c>
    </row>
    <row r="907" spans="1:21" x14ac:dyDescent="0.2">
      <c r="A907" t="s">
        <v>318</v>
      </c>
      <c r="B907" t="s">
        <v>606</v>
      </c>
      <c r="C907" t="s">
        <v>607</v>
      </c>
      <c r="D907" t="s">
        <v>42</v>
      </c>
      <c r="E907" t="s">
        <v>360</v>
      </c>
      <c r="F907">
        <v>23</v>
      </c>
      <c r="G907">
        <v>1996</v>
      </c>
      <c r="H907">
        <v>13</v>
      </c>
      <c r="I907">
        <v>10</v>
      </c>
      <c r="J907">
        <v>899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1</v>
      </c>
      <c r="Q907">
        <v>0</v>
      </c>
      <c r="R907">
        <f t="shared" si="28"/>
        <v>0</v>
      </c>
      <c r="S907" t="s">
        <v>497</v>
      </c>
      <c r="T907">
        <v>7</v>
      </c>
      <c r="U907" t="str">
        <f t="shared" si="29"/>
        <v>Claudia Walker:0</v>
      </c>
    </row>
    <row r="908" spans="1:21" x14ac:dyDescent="0.2">
      <c r="A908" t="s">
        <v>271</v>
      </c>
      <c r="B908" t="s">
        <v>606</v>
      </c>
      <c r="C908" t="s">
        <v>607</v>
      </c>
      <c r="D908" t="s">
        <v>23</v>
      </c>
      <c r="E908" t="s">
        <v>360</v>
      </c>
      <c r="F908">
        <v>20</v>
      </c>
      <c r="G908">
        <v>1999</v>
      </c>
      <c r="H908">
        <v>9</v>
      </c>
      <c r="I908">
        <v>3</v>
      </c>
      <c r="J908">
        <v>370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f t="shared" si="28"/>
        <v>0</v>
      </c>
      <c r="S908" t="s">
        <v>497</v>
      </c>
      <c r="T908">
        <v>7</v>
      </c>
      <c r="U908" t="str">
        <f t="shared" si="29"/>
        <v>Connie Scofield:0</v>
      </c>
    </row>
    <row r="909" spans="1:21" x14ac:dyDescent="0.2">
      <c r="A909" t="s">
        <v>515</v>
      </c>
      <c r="B909" t="s">
        <v>606</v>
      </c>
      <c r="C909" t="s">
        <v>607</v>
      </c>
      <c r="D909" t="s">
        <v>34</v>
      </c>
      <c r="E909" t="s">
        <v>30</v>
      </c>
      <c r="F909">
        <v>23</v>
      </c>
      <c r="G909">
        <v>1996</v>
      </c>
      <c r="H909">
        <v>3</v>
      </c>
      <c r="I909">
        <v>2</v>
      </c>
      <c r="J909">
        <v>112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f t="shared" si="28"/>
        <v>0</v>
      </c>
      <c r="S909" t="s">
        <v>497</v>
      </c>
      <c r="T909">
        <v>20</v>
      </c>
      <c r="U909" t="str">
        <f t="shared" si="29"/>
        <v>Coral-Jade Haines:0</v>
      </c>
    </row>
    <row r="910" spans="1:21" x14ac:dyDescent="0.2">
      <c r="A910" t="s">
        <v>71</v>
      </c>
      <c r="B910" t="s">
        <v>632</v>
      </c>
      <c r="C910" t="s">
        <v>633</v>
      </c>
      <c r="D910" t="s">
        <v>40</v>
      </c>
      <c r="E910" t="s">
        <v>24</v>
      </c>
      <c r="F910">
        <v>23</v>
      </c>
      <c r="G910">
        <v>1995</v>
      </c>
      <c r="H910">
        <v>10</v>
      </c>
      <c r="I910">
        <v>10</v>
      </c>
      <c r="J910">
        <v>900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1</v>
      </c>
      <c r="Q910">
        <v>0</v>
      </c>
      <c r="R910">
        <f t="shared" si="28"/>
        <v>0</v>
      </c>
      <c r="S910" t="s">
        <v>497</v>
      </c>
      <c r="T910">
        <v>16</v>
      </c>
      <c r="U910" t="str">
        <f t="shared" si="29"/>
        <v>Courtney Brosnan:0</v>
      </c>
    </row>
    <row r="911" spans="1:21" x14ac:dyDescent="0.2">
      <c r="A911" t="s">
        <v>538</v>
      </c>
      <c r="B911" t="s">
        <v>606</v>
      </c>
      <c r="C911" t="s">
        <v>607</v>
      </c>
      <c r="D911" t="s">
        <v>26</v>
      </c>
      <c r="E911" t="s">
        <v>65</v>
      </c>
      <c r="F911">
        <v>28</v>
      </c>
      <c r="G911">
        <v>1990</v>
      </c>
      <c r="H911">
        <v>11</v>
      </c>
      <c r="I911">
        <v>7</v>
      </c>
      <c r="J911">
        <v>599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f t="shared" si="28"/>
        <v>0</v>
      </c>
      <c r="S911" t="s">
        <v>497</v>
      </c>
      <c r="T911">
        <v>6</v>
      </c>
      <c r="U911" t="str">
        <f t="shared" si="29"/>
        <v>Courtney Sweetman-Kirk:0</v>
      </c>
    </row>
    <row r="912" spans="1:21" x14ac:dyDescent="0.2">
      <c r="A912" t="s">
        <v>354</v>
      </c>
      <c r="B912" t="s">
        <v>606</v>
      </c>
      <c r="C912" t="s">
        <v>607</v>
      </c>
      <c r="D912" t="s">
        <v>34</v>
      </c>
      <c r="E912" t="s">
        <v>48</v>
      </c>
      <c r="F912">
        <v>30</v>
      </c>
      <c r="G912">
        <v>1988</v>
      </c>
      <c r="H912">
        <v>16</v>
      </c>
      <c r="I912">
        <v>16</v>
      </c>
      <c r="J912">
        <v>1340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4</v>
      </c>
      <c r="Q912">
        <v>0</v>
      </c>
      <c r="R912">
        <f t="shared" si="28"/>
        <v>0</v>
      </c>
      <c r="S912" t="s">
        <v>497</v>
      </c>
      <c r="T912">
        <v>13</v>
      </c>
      <c r="U912" t="str">
        <f t="shared" si="29"/>
        <v>Danielle Buet:0</v>
      </c>
    </row>
    <row r="913" spans="1:21" x14ac:dyDescent="0.2">
      <c r="A913" t="s">
        <v>309</v>
      </c>
      <c r="B913" t="s">
        <v>606</v>
      </c>
      <c r="C913" t="s">
        <v>607</v>
      </c>
      <c r="D913" t="s">
        <v>50</v>
      </c>
      <c r="E913" t="s">
        <v>55</v>
      </c>
      <c r="F913">
        <v>28</v>
      </c>
      <c r="G913">
        <v>1991</v>
      </c>
      <c r="H913">
        <v>14</v>
      </c>
      <c r="I913">
        <v>14</v>
      </c>
      <c r="J913">
        <v>1260</v>
      </c>
      <c r="K913">
        <v>1</v>
      </c>
      <c r="L913">
        <v>1</v>
      </c>
      <c r="M913">
        <v>1</v>
      </c>
      <c r="N913">
        <v>0</v>
      </c>
      <c r="O913">
        <v>0</v>
      </c>
      <c r="P913">
        <v>0</v>
      </c>
      <c r="Q913">
        <v>0</v>
      </c>
      <c r="R913">
        <f t="shared" si="28"/>
        <v>8.8183421516754842E-6</v>
      </c>
      <c r="S913" t="s">
        <v>497</v>
      </c>
      <c r="T913">
        <v>19</v>
      </c>
      <c r="U913" t="str">
        <f t="shared" si="29"/>
        <v>Danielle Turner:1</v>
      </c>
    </row>
    <row r="914" spans="1:21" x14ac:dyDescent="0.2">
      <c r="A914" t="s">
        <v>436</v>
      </c>
      <c r="B914" t="s">
        <v>626</v>
      </c>
      <c r="C914" t="s">
        <v>627</v>
      </c>
      <c r="D914" t="s">
        <v>42</v>
      </c>
      <c r="E914" t="s">
        <v>27</v>
      </c>
      <c r="F914">
        <v>27</v>
      </c>
      <c r="G914">
        <v>1991</v>
      </c>
      <c r="H914">
        <v>15</v>
      </c>
      <c r="I914">
        <v>14</v>
      </c>
      <c r="J914">
        <v>1277</v>
      </c>
      <c r="K914">
        <v>5</v>
      </c>
      <c r="L914">
        <v>4</v>
      </c>
      <c r="M914">
        <v>5</v>
      </c>
      <c r="N914">
        <v>0</v>
      </c>
      <c r="O914">
        <v>0</v>
      </c>
      <c r="P914">
        <v>2</v>
      </c>
      <c r="Q914">
        <v>0</v>
      </c>
      <c r="R914">
        <f t="shared" si="28"/>
        <v>4.3504742016879841E-5</v>
      </c>
      <c r="S914" t="s">
        <v>497</v>
      </c>
      <c r="T914">
        <v>36</v>
      </c>
      <c r="U914" t="str">
        <f t="shared" si="29"/>
        <v>Daniëlle van de Donk:4</v>
      </c>
    </row>
    <row r="915" spans="1:21" x14ac:dyDescent="0.2">
      <c r="A915" t="s">
        <v>389</v>
      </c>
      <c r="B915" t="s">
        <v>626</v>
      </c>
      <c r="C915" t="s">
        <v>627</v>
      </c>
      <c r="D915" t="s">
        <v>50</v>
      </c>
      <c r="E915" t="s">
        <v>48</v>
      </c>
      <c r="F915">
        <v>23</v>
      </c>
      <c r="G915">
        <v>1996</v>
      </c>
      <c r="H915">
        <v>14</v>
      </c>
      <c r="I915">
        <v>13</v>
      </c>
      <c r="J915">
        <v>1171</v>
      </c>
      <c r="K915">
        <v>1</v>
      </c>
      <c r="L915">
        <v>1</v>
      </c>
      <c r="M915">
        <v>1</v>
      </c>
      <c r="N915">
        <v>0</v>
      </c>
      <c r="O915">
        <v>0</v>
      </c>
      <c r="P915">
        <v>3</v>
      </c>
      <c r="Q915">
        <v>0</v>
      </c>
      <c r="R915">
        <f t="shared" si="28"/>
        <v>9.4885662776354497E-6</v>
      </c>
      <c r="S915" t="s">
        <v>497</v>
      </c>
      <c r="T915">
        <v>13</v>
      </c>
      <c r="U915" t="str">
        <f t="shared" si="29"/>
        <v>Danique Kerkdijk:1</v>
      </c>
    </row>
    <row r="916" spans="1:21" x14ac:dyDescent="0.2">
      <c r="A916" t="s">
        <v>97</v>
      </c>
      <c r="B916" t="s">
        <v>606</v>
      </c>
      <c r="C916" t="s">
        <v>607</v>
      </c>
      <c r="D916" t="s">
        <v>50</v>
      </c>
      <c r="E916" t="s">
        <v>20</v>
      </c>
      <c r="F916">
        <v>26</v>
      </c>
      <c r="G916">
        <v>1993</v>
      </c>
      <c r="H916">
        <v>1</v>
      </c>
      <c r="I916">
        <v>0</v>
      </c>
      <c r="J916">
        <v>29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f t="shared" si="28"/>
        <v>0</v>
      </c>
      <c r="S916" t="s">
        <v>497</v>
      </c>
      <c r="T916">
        <v>39</v>
      </c>
      <c r="U916" t="str">
        <f t="shared" si="29"/>
        <v>Deanna Cooper:0</v>
      </c>
    </row>
    <row r="917" spans="1:21" x14ac:dyDescent="0.2">
      <c r="A917" t="s">
        <v>291</v>
      </c>
      <c r="B917" t="s">
        <v>606</v>
      </c>
      <c r="C917" t="s">
        <v>607</v>
      </c>
      <c r="D917" t="s">
        <v>50</v>
      </c>
      <c r="E917" t="s">
        <v>32</v>
      </c>
      <c r="F917">
        <v>27</v>
      </c>
      <c r="G917">
        <v>1991</v>
      </c>
      <c r="H917">
        <v>14</v>
      </c>
      <c r="I917">
        <v>13</v>
      </c>
      <c r="J917">
        <v>1135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f t="shared" si="28"/>
        <v>0</v>
      </c>
      <c r="S917" t="s">
        <v>497</v>
      </c>
      <c r="T917">
        <v>40</v>
      </c>
      <c r="U917" t="str">
        <f t="shared" si="29"/>
        <v>Demi Stokes:0</v>
      </c>
    </row>
    <row r="918" spans="1:21" x14ac:dyDescent="0.2">
      <c r="A918" t="s">
        <v>285</v>
      </c>
      <c r="B918" t="s">
        <v>650</v>
      </c>
      <c r="C918" t="s">
        <v>651</v>
      </c>
      <c r="D918" t="s">
        <v>23</v>
      </c>
      <c r="E918" t="s">
        <v>20</v>
      </c>
      <c r="F918">
        <v>26</v>
      </c>
      <c r="G918">
        <v>1992</v>
      </c>
      <c r="H918">
        <v>15</v>
      </c>
      <c r="I918">
        <v>8</v>
      </c>
      <c r="J918">
        <v>633</v>
      </c>
      <c r="K918">
        <v>3</v>
      </c>
      <c r="L918">
        <v>2</v>
      </c>
      <c r="M918">
        <v>3</v>
      </c>
      <c r="N918">
        <v>0</v>
      </c>
      <c r="O918">
        <v>0</v>
      </c>
      <c r="P918">
        <v>1</v>
      </c>
      <c r="Q918">
        <v>0</v>
      </c>
      <c r="R918">
        <f t="shared" si="28"/>
        <v>5.2659294365455505E-5</v>
      </c>
      <c r="S918" t="s">
        <v>497</v>
      </c>
      <c r="T918">
        <v>39</v>
      </c>
      <c r="U918" t="str">
        <f t="shared" si="29"/>
        <v>Drew Spence:2</v>
      </c>
    </row>
    <row r="919" spans="1:21" x14ac:dyDescent="0.2">
      <c r="A919" t="s">
        <v>481</v>
      </c>
      <c r="B919" t="s">
        <v>606</v>
      </c>
      <c r="C919" t="s">
        <v>607</v>
      </c>
      <c r="D919" t="s">
        <v>42</v>
      </c>
      <c r="E919" t="s">
        <v>426</v>
      </c>
      <c r="F919">
        <v>18</v>
      </c>
      <c r="G919">
        <v>2001</v>
      </c>
      <c r="H919">
        <v>14</v>
      </c>
      <c r="I919">
        <v>7</v>
      </c>
      <c r="J919">
        <v>746</v>
      </c>
      <c r="K919">
        <v>5</v>
      </c>
      <c r="L919">
        <v>1</v>
      </c>
      <c r="M919">
        <v>5</v>
      </c>
      <c r="N919">
        <v>0</v>
      </c>
      <c r="O919">
        <v>0</v>
      </c>
      <c r="P919">
        <v>1</v>
      </c>
      <c r="Q919">
        <v>0</v>
      </c>
      <c r="R919">
        <f t="shared" si="28"/>
        <v>7.4471254095918974E-5</v>
      </c>
      <c r="S919" t="s">
        <v>497</v>
      </c>
      <c r="T919">
        <v>9</v>
      </c>
      <c r="U919" t="str">
        <f t="shared" si="29"/>
        <v>Ebony Salmon:1</v>
      </c>
    </row>
    <row r="920" spans="1:21" x14ac:dyDescent="0.2">
      <c r="A920" t="s">
        <v>518</v>
      </c>
      <c r="B920" t="s">
        <v>624</v>
      </c>
      <c r="C920" t="s">
        <v>625</v>
      </c>
      <c r="D920" t="s">
        <v>42</v>
      </c>
      <c r="E920" t="s">
        <v>426</v>
      </c>
      <c r="F920">
        <v>18</v>
      </c>
      <c r="G920">
        <v>2001</v>
      </c>
      <c r="H920">
        <v>3</v>
      </c>
      <c r="I920">
        <v>2</v>
      </c>
      <c r="J920">
        <v>163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1</v>
      </c>
      <c r="Q920">
        <v>0</v>
      </c>
      <c r="R920">
        <f t="shared" si="28"/>
        <v>0</v>
      </c>
      <c r="S920" t="s">
        <v>497</v>
      </c>
      <c r="T920">
        <v>9</v>
      </c>
      <c r="U920" t="str">
        <f t="shared" si="29"/>
        <v>Elise Hughes:0</v>
      </c>
    </row>
    <row r="921" spans="1:21" x14ac:dyDescent="0.2">
      <c r="A921" t="s">
        <v>518</v>
      </c>
      <c r="B921" t="s">
        <v>624</v>
      </c>
      <c r="C921" t="s">
        <v>625</v>
      </c>
      <c r="D921" t="s">
        <v>26</v>
      </c>
      <c r="E921" t="s">
        <v>55</v>
      </c>
      <c r="F921">
        <v>18</v>
      </c>
      <c r="G921">
        <v>2001</v>
      </c>
      <c r="H921">
        <v>4</v>
      </c>
      <c r="I921">
        <v>1</v>
      </c>
      <c r="J921">
        <v>104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f t="shared" si="28"/>
        <v>0</v>
      </c>
      <c r="S921" t="s">
        <v>497</v>
      </c>
      <c r="T921">
        <v>19</v>
      </c>
      <c r="U921" t="str">
        <f t="shared" si="29"/>
        <v>Elise Hughes:0</v>
      </c>
    </row>
    <row r="922" spans="1:21" x14ac:dyDescent="0.2">
      <c r="A922" t="s">
        <v>305</v>
      </c>
      <c r="B922" t="s">
        <v>606</v>
      </c>
      <c r="C922" t="s">
        <v>607</v>
      </c>
      <c r="D922" t="s">
        <v>23</v>
      </c>
      <c r="E922" t="s">
        <v>52</v>
      </c>
      <c r="F922">
        <v>19</v>
      </c>
      <c r="G922">
        <v>1999</v>
      </c>
      <c r="H922">
        <v>13</v>
      </c>
      <c r="I922">
        <v>5</v>
      </c>
      <c r="J922">
        <v>526</v>
      </c>
      <c r="K922">
        <v>1</v>
      </c>
      <c r="L922">
        <v>2</v>
      </c>
      <c r="M922">
        <v>1</v>
      </c>
      <c r="N922">
        <v>0</v>
      </c>
      <c r="O922">
        <v>0</v>
      </c>
      <c r="P922">
        <v>2</v>
      </c>
      <c r="Q922">
        <v>1</v>
      </c>
      <c r="R922">
        <f t="shared" si="28"/>
        <v>2.1123785382340516E-5</v>
      </c>
      <c r="S922" t="s">
        <v>497</v>
      </c>
      <c r="T922">
        <v>23</v>
      </c>
      <c r="U922" t="str">
        <f t="shared" si="29"/>
        <v>Ella Toone:2</v>
      </c>
    </row>
    <row r="923" spans="1:21" x14ac:dyDescent="0.2">
      <c r="A923" t="s">
        <v>420</v>
      </c>
      <c r="B923" t="s">
        <v>606</v>
      </c>
      <c r="C923" t="s">
        <v>607</v>
      </c>
      <c r="D923" t="s">
        <v>26</v>
      </c>
      <c r="E923" t="s">
        <v>32</v>
      </c>
      <c r="F923">
        <v>30</v>
      </c>
      <c r="G923">
        <v>1989</v>
      </c>
      <c r="H923">
        <v>12</v>
      </c>
      <c r="I923">
        <v>10</v>
      </c>
      <c r="J923">
        <v>857</v>
      </c>
      <c r="K923">
        <v>6</v>
      </c>
      <c r="L923">
        <v>3</v>
      </c>
      <c r="M923">
        <v>6</v>
      </c>
      <c r="N923">
        <v>0</v>
      </c>
      <c r="O923">
        <v>0</v>
      </c>
      <c r="P923">
        <v>0</v>
      </c>
      <c r="Q923">
        <v>0</v>
      </c>
      <c r="R923">
        <f t="shared" si="28"/>
        <v>7.7790742901594719E-5</v>
      </c>
      <c r="S923" t="s">
        <v>497</v>
      </c>
      <c r="T923">
        <v>40</v>
      </c>
      <c r="U923" t="str">
        <f t="shared" si="29"/>
        <v>Ellen White:3</v>
      </c>
    </row>
    <row r="924" spans="1:21" x14ac:dyDescent="0.2">
      <c r="A924" t="s">
        <v>69</v>
      </c>
      <c r="B924" t="s">
        <v>606</v>
      </c>
      <c r="C924" t="s">
        <v>607</v>
      </c>
      <c r="D924" t="s">
        <v>23</v>
      </c>
      <c r="E924" t="s">
        <v>48</v>
      </c>
      <c r="F924">
        <v>20</v>
      </c>
      <c r="G924">
        <v>1999</v>
      </c>
      <c r="H924">
        <v>6</v>
      </c>
      <c r="I924">
        <v>6</v>
      </c>
      <c r="J924">
        <v>451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f t="shared" si="28"/>
        <v>0</v>
      </c>
      <c r="S924" t="s">
        <v>497</v>
      </c>
      <c r="T924">
        <v>13</v>
      </c>
      <c r="U924" t="str">
        <f t="shared" si="29"/>
        <v>Ellie Brazil:0</v>
      </c>
    </row>
    <row r="925" spans="1:21" x14ac:dyDescent="0.2">
      <c r="A925" t="s">
        <v>264</v>
      </c>
      <c r="B925" t="s">
        <v>606</v>
      </c>
      <c r="C925" t="s">
        <v>607</v>
      </c>
      <c r="D925" t="s">
        <v>40</v>
      </c>
      <c r="E925" t="s">
        <v>32</v>
      </c>
      <c r="F925">
        <v>19</v>
      </c>
      <c r="G925">
        <v>1999</v>
      </c>
      <c r="H925">
        <v>16</v>
      </c>
      <c r="I925">
        <v>16</v>
      </c>
      <c r="J925">
        <v>1439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f t="shared" si="28"/>
        <v>0</v>
      </c>
      <c r="S925" t="s">
        <v>497</v>
      </c>
      <c r="T925">
        <v>40</v>
      </c>
      <c r="U925" t="str">
        <f t="shared" si="29"/>
        <v>Ellie Roebuck:0</v>
      </c>
    </row>
    <row r="926" spans="1:21" x14ac:dyDescent="0.2">
      <c r="A926" t="s">
        <v>469</v>
      </c>
      <c r="B926" t="s">
        <v>606</v>
      </c>
      <c r="C926" t="s">
        <v>607</v>
      </c>
      <c r="D926" t="s">
        <v>23</v>
      </c>
      <c r="E926" t="s">
        <v>20</v>
      </c>
      <c r="F926">
        <v>16</v>
      </c>
      <c r="G926">
        <v>2003</v>
      </c>
      <c r="H926">
        <v>2</v>
      </c>
      <c r="I926">
        <v>0</v>
      </c>
      <c r="J926">
        <v>26</v>
      </c>
      <c r="K926">
        <v>1</v>
      </c>
      <c r="L926">
        <v>0</v>
      </c>
      <c r="M926">
        <v>1</v>
      </c>
      <c r="N926">
        <v>0</v>
      </c>
      <c r="O926">
        <v>0</v>
      </c>
      <c r="P926">
        <v>0</v>
      </c>
      <c r="Q926">
        <v>0</v>
      </c>
      <c r="R926">
        <f t="shared" si="28"/>
        <v>4.2735042735042735E-4</v>
      </c>
      <c r="S926" t="s">
        <v>497</v>
      </c>
      <c r="T926">
        <v>39</v>
      </c>
      <c r="U926" t="str">
        <f t="shared" si="29"/>
        <v>Emily Murphy:0</v>
      </c>
    </row>
    <row r="927" spans="1:21" x14ac:dyDescent="0.2">
      <c r="A927" t="s">
        <v>409</v>
      </c>
      <c r="B927" t="s">
        <v>606</v>
      </c>
      <c r="C927" t="s">
        <v>607</v>
      </c>
      <c r="D927" t="s">
        <v>34</v>
      </c>
      <c r="E927" t="s">
        <v>48</v>
      </c>
      <c r="F927">
        <v>29</v>
      </c>
      <c r="G927">
        <v>1990</v>
      </c>
      <c r="H927">
        <v>10</v>
      </c>
      <c r="I927">
        <v>8</v>
      </c>
      <c r="J927">
        <v>603</v>
      </c>
      <c r="K927">
        <v>0</v>
      </c>
      <c r="L927">
        <v>1</v>
      </c>
      <c r="M927">
        <v>0</v>
      </c>
      <c r="N927">
        <v>0</v>
      </c>
      <c r="O927">
        <v>0</v>
      </c>
      <c r="P927">
        <v>0</v>
      </c>
      <c r="Q927">
        <v>0</v>
      </c>
      <c r="R927">
        <f t="shared" si="28"/>
        <v>0</v>
      </c>
      <c r="S927" t="s">
        <v>497</v>
      </c>
      <c r="T927">
        <v>13</v>
      </c>
      <c r="U927" t="str">
        <f t="shared" si="29"/>
        <v>Emily Simpkins:1</v>
      </c>
    </row>
    <row r="928" spans="1:21" x14ac:dyDescent="0.2">
      <c r="A928" t="s">
        <v>218</v>
      </c>
      <c r="B928" t="s">
        <v>652</v>
      </c>
      <c r="C928" t="s">
        <v>653</v>
      </c>
      <c r="D928" t="s">
        <v>50</v>
      </c>
      <c r="E928" t="s">
        <v>27</v>
      </c>
      <c r="F928">
        <v>26</v>
      </c>
      <c r="G928">
        <v>1992</v>
      </c>
      <c r="H928">
        <v>2</v>
      </c>
      <c r="I928">
        <v>0</v>
      </c>
      <c r="J928">
        <v>34</v>
      </c>
      <c r="K928">
        <v>1</v>
      </c>
      <c r="L928">
        <v>0</v>
      </c>
      <c r="M928">
        <v>1</v>
      </c>
      <c r="N928">
        <v>0</v>
      </c>
      <c r="O928">
        <v>0</v>
      </c>
      <c r="P928">
        <v>0</v>
      </c>
      <c r="Q928">
        <v>0</v>
      </c>
      <c r="R928">
        <f t="shared" si="28"/>
        <v>3.2679738562091501E-4</v>
      </c>
      <c r="S928" t="s">
        <v>497</v>
      </c>
      <c r="T928">
        <v>36</v>
      </c>
      <c r="U928" t="str">
        <f t="shared" si="29"/>
        <v>Emma Mitchell:0</v>
      </c>
    </row>
    <row r="929" spans="1:21" x14ac:dyDescent="0.2">
      <c r="A929" t="s">
        <v>218</v>
      </c>
      <c r="B929" t="s">
        <v>652</v>
      </c>
      <c r="C929" t="s">
        <v>653</v>
      </c>
      <c r="D929" t="s">
        <v>50</v>
      </c>
      <c r="E929" t="s">
        <v>30</v>
      </c>
      <c r="F929">
        <v>26</v>
      </c>
      <c r="G929">
        <v>1992</v>
      </c>
      <c r="H929">
        <v>4</v>
      </c>
      <c r="I929">
        <v>3</v>
      </c>
      <c r="J929">
        <v>315</v>
      </c>
      <c r="K929">
        <v>2</v>
      </c>
      <c r="L929">
        <v>0</v>
      </c>
      <c r="M929">
        <v>2</v>
      </c>
      <c r="N929">
        <v>0</v>
      </c>
      <c r="O929">
        <v>0</v>
      </c>
      <c r="P929">
        <v>0</v>
      </c>
      <c r="Q929">
        <v>0</v>
      </c>
      <c r="R929">
        <f t="shared" si="28"/>
        <v>7.0546737213403874E-5</v>
      </c>
      <c r="S929" t="s">
        <v>497</v>
      </c>
      <c r="T929">
        <v>20</v>
      </c>
      <c r="U929" t="str">
        <f t="shared" si="29"/>
        <v>Emma Mitchell:0</v>
      </c>
    </row>
    <row r="930" spans="1:21" x14ac:dyDescent="0.2">
      <c r="A930" t="s">
        <v>479</v>
      </c>
      <c r="B930" t="s">
        <v>606</v>
      </c>
      <c r="C930" t="s">
        <v>607</v>
      </c>
      <c r="D930" t="s">
        <v>23</v>
      </c>
      <c r="E930" t="s">
        <v>360</v>
      </c>
      <c r="F930">
        <v>22</v>
      </c>
      <c r="G930">
        <v>1997</v>
      </c>
      <c r="H930">
        <v>3</v>
      </c>
      <c r="I930">
        <v>1</v>
      </c>
      <c r="J930">
        <v>114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f t="shared" si="28"/>
        <v>0</v>
      </c>
      <c r="S930" t="s">
        <v>497</v>
      </c>
      <c r="T930">
        <v>7</v>
      </c>
      <c r="U930" t="str">
        <f t="shared" si="29"/>
        <v>Emma Rose Kelly:0</v>
      </c>
    </row>
    <row r="931" spans="1:21" x14ac:dyDescent="0.2">
      <c r="A931" t="s">
        <v>100</v>
      </c>
      <c r="B931" t="s">
        <v>652</v>
      </c>
      <c r="C931" t="s">
        <v>653</v>
      </c>
      <c r="D931" t="s">
        <v>23</v>
      </c>
      <c r="E931" t="s">
        <v>20</v>
      </c>
      <c r="F931">
        <v>21</v>
      </c>
      <c r="G931">
        <v>1998</v>
      </c>
      <c r="H931">
        <v>14</v>
      </c>
      <c r="I931">
        <v>12</v>
      </c>
      <c r="J931">
        <v>1067</v>
      </c>
      <c r="K931">
        <v>2</v>
      </c>
      <c r="L931">
        <v>4</v>
      </c>
      <c r="M931">
        <v>2</v>
      </c>
      <c r="N931">
        <v>0</v>
      </c>
      <c r="O931">
        <v>0</v>
      </c>
      <c r="P931">
        <v>2</v>
      </c>
      <c r="Q931">
        <v>0</v>
      </c>
      <c r="R931">
        <f t="shared" si="28"/>
        <v>2.0826824950536292E-5</v>
      </c>
      <c r="S931" t="s">
        <v>497</v>
      </c>
      <c r="T931">
        <v>39</v>
      </c>
      <c r="U931" t="str">
        <f t="shared" si="29"/>
        <v>Erin Cuthbert:4</v>
      </c>
    </row>
    <row r="932" spans="1:21" x14ac:dyDescent="0.2">
      <c r="A932" t="s">
        <v>278</v>
      </c>
      <c r="B932" t="s">
        <v>638</v>
      </c>
      <c r="C932" t="s">
        <v>639</v>
      </c>
      <c r="D932" t="s">
        <v>50</v>
      </c>
      <c r="E932" t="s">
        <v>24</v>
      </c>
      <c r="F932">
        <v>24</v>
      </c>
      <c r="G932">
        <v>1994</v>
      </c>
      <c r="H932">
        <v>2</v>
      </c>
      <c r="I932">
        <v>2</v>
      </c>
      <c r="J932">
        <v>133</v>
      </c>
      <c r="K932">
        <v>0</v>
      </c>
      <c r="L932">
        <v>1</v>
      </c>
      <c r="M932">
        <v>0</v>
      </c>
      <c r="N932">
        <v>0</v>
      </c>
      <c r="O932">
        <v>0</v>
      </c>
      <c r="P932">
        <v>0</v>
      </c>
      <c r="Q932">
        <v>0</v>
      </c>
      <c r="R932">
        <f t="shared" si="28"/>
        <v>0</v>
      </c>
      <c r="S932" t="s">
        <v>497</v>
      </c>
      <c r="T932">
        <v>16</v>
      </c>
      <c r="U932" t="str">
        <f t="shared" si="29"/>
        <v>Erin Simon:1</v>
      </c>
    </row>
    <row r="933" spans="1:21" x14ac:dyDescent="0.2">
      <c r="A933" t="s">
        <v>222</v>
      </c>
      <c r="B933" t="s">
        <v>606</v>
      </c>
      <c r="C933" t="s">
        <v>607</v>
      </c>
      <c r="D933" t="s">
        <v>50</v>
      </c>
      <c r="E933" t="s">
        <v>55</v>
      </c>
      <c r="F933">
        <v>18</v>
      </c>
      <c r="G933">
        <v>2000</v>
      </c>
      <c r="H933">
        <v>11</v>
      </c>
      <c r="I933">
        <v>10</v>
      </c>
      <c r="J933">
        <v>920</v>
      </c>
      <c r="K933">
        <v>1</v>
      </c>
      <c r="L933">
        <v>0</v>
      </c>
      <c r="M933">
        <v>1</v>
      </c>
      <c r="N933">
        <v>0</v>
      </c>
      <c r="O933">
        <v>0</v>
      </c>
      <c r="P933">
        <v>2</v>
      </c>
      <c r="Q933">
        <v>0</v>
      </c>
      <c r="R933">
        <f t="shared" si="28"/>
        <v>1.2077294685990338E-5</v>
      </c>
      <c r="S933" t="s">
        <v>497</v>
      </c>
      <c r="T933">
        <v>19</v>
      </c>
      <c r="U933" t="str">
        <f t="shared" si="29"/>
        <v>Esme Morgan:0</v>
      </c>
    </row>
    <row r="934" spans="1:21" x14ac:dyDescent="0.2">
      <c r="A934" t="s">
        <v>373</v>
      </c>
      <c r="B934" t="s">
        <v>626</v>
      </c>
      <c r="C934" t="s">
        <v>627</v>
      </c>
      <c r="D934" t="s">
        <v>26</v>
      </c>
      <c r="E934" t="s">
        <v>24</v>
      </c>
      <c r="F934">
        <v>21</v>
      </c>
      <c r="G934">
        <v>1997</v>
      </c>
      <c r="H934">
        <v>2</v>
      </c>
      <c r="I934">
        <v>0</v>
      </c>
      <c r="J934">
        <v>37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f t="shared" si="28"/>
        <v>0</v>
      </c>
      <c r="S934" t="s">
        <v>497</v>
      </c>
      <c r="T934">
        <v>16</v>
      </c>
      <c r="U934" t="str">
        <f t="shared" si="29"/>
        <v>Esmee de Graaf:0</v>
      </c>
    </row>
    <row r="935" spans="1:21" x14ac:dyDescent="0.2">
      <c r="A935" t="s">
        <v>492</v>
      </c>
      <c r="B935" t="s">
        <v>606</v>
      </c>
      <c r="C935" t="s">
        <v>607</v>
      </c>
      <c r="D935" t="s">
        <v>23</v>
      </c>
      <c r="E935" t="s">
        <v>35</v>
      </c>
      <c r="F935">
        <v>35</v>
      </c>
      <c r="G935">
        <v>1984</v>
      </c>
      <c r="H935">
        <v>14</v>
      </c>
      <c r="I935">
        <v>14</v>
      </c>
      <c r="J935">
        <v>1214</v>
      </c>
      <c r="K935">
        <v>5</v>
      </c>
      <c r="L935">
        <v>6</v>
      </c>
      <c r="M935">
        <v>3</v>
      </c>
      <c r="N935">
        <v>2</v>
      </c>
      <c r="O935">
        <v>3</v>
      </c>
      <c r="P935">
        <v>0</v>
      </c>
      <c r="Q935">
        <v>0</v>
      </c>
      <c r="R935">
        <f t="shared" si="28"/>
        <v>4.5762401610836533E-5</v>
      </c>
      <c r="S935" t="s">
        <v>497</v>
      </c>
      <c r="T935">
        <v>21</v>
      </c>
      <c r="U935" t="str">
        <f t="shared" si="29"/>
        <v>Fara Williams:6</v>
      </c>
    </row>
    <row r="936" spans="1:21" x14ac:dyDescent="0.2">
      <c r="A936" t="s">
        <v>74</v>
      </c>
      <c r="B936" t="s">
        <v>606</v>
      </c>
      <c r="C936" t="s">
        <v>607</v>
      </c>
      <c r="D936" t="s">
        <v>50</v>
      </c>
      <c r="E936" t="s">
        <v>426</v>
      </c>
      <c r="F936">
        <v>22</v>
      </c>
      <c r="G936">
        <v>1997</v>
      </c>
      <c r="H936">
        <v>3</v>
      </c>
      <c r="I936">
        <v>2</v>
      </c>
      <c r="J936">
        <v>206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1</v>
      </c>
      <c r="Q936">
        <v>0</v>
      </c>
      <c r="R936">
        <f t="shared" si="28"/>
        <v>0</v>
      </c>
      <c r="S936" t="s">
        <v>497</v>
      </c>
      <c r="T936">
        <v>9</v>
      </c>
      <c r="U936" t="str">
        <f t="shared" si="29"/>
        <v>Faye Bryson:0</v>
      </c>
    </row>
    <row r="937" spans="1:21" x14ac:dyDescent="0.2">
      <c r="A937" t="s">
        <v>372</v>
      </c>
      <c r="B937" t="s">
        <v>606</v>
      </c>
      <c r="C937" t="s">
        <v>607</v>
      </c>
      <c r="D937" t="s">
        <v>50</v>
      </c>
      <c r="E937" t="s">
        <v>48</v>
      </c>
      <c r="F937">
        <v>25</v>
      </c>
      <c r="G937">
        <v>1994</v>
      </c>
      <c r="H937">
        <v>15</v>
      </c>
      <c r="I937">
        <v>15</v>
      </c>
      <c r="J937">
        <v>1350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1</v>
      </c>
      <c r="Q937">
        <v>0</v>
      </c>
      <c r="R937">
        <f t="shared" si="28"/>
        <v>0</v>
      </c>
      <c r="S937" t="s">
        <v>497</v>
      </c>
      <c r="T937">
        <v>13</v>
      </c>
      <c r="U937" t="str">
        <f t="shared" si="29"/>
        <v>Felicity Gibbons:0</v>
      </c>
    </row>
    <row r="938" spans="1:21" x14ac:dyDescent="0.2">
      <c r="A938" t="s">
        <v>543</v>
      </c>
      <c r="B938" t="s">
        <v>606</v>
      </c>
      <c r="C938" t="s">
        <v>607</v>
      </c>
      <c r="D938" t="s">
        <v>50</v>
      </c>
      <c r="E938" t="s">
        <v>48</v>
      </c>
      <c r="F938">
        <v>30</v>
      </c>
      <c r="G938">
        <v>1988</v>
      </c>
      <c r="H938">
        <v>3</v>
      </c>
      <c r="I938">
        <v>3</v>
      </c>
      <c r="J938">
        <v>258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f t="shared" si="28"/>
        <v>0</v>
      </c>
      <c r="S938" t="s">
        <v>497</v>
      </c>
      <c r="T938">
        <v>13</v>
      </c>
      <c r="U938" t="str">
        <f t="shared" si="29"/>
        <v>Fern Whelan:0</v>
      </c>
    </row>
    <row r="939" spans="1:21" x14ac:dyDescent="0.2">
      <c r="A939" t="s">
        <v>542</v>
      </c>
      <c r="B939" t="s">
        <v>658</v>
      </c>
      <c r="C939" t="s">
        <v>659</v>
      </c>
      <c r="D939" t="s">
        <v>50</v>
      </c>
      <c r="E939" t="s">
        <v>24</v>
      </c>
      <c r="F939">
        <v>19</v>
      </c>
      <c r="G939">
        <v>2000</v>
      </c>
      <c r="H939">
        <v>2</v>
      </c>
      <c r="I939">
        <v>0</v>
      </c>
      <c r="J939">
        <v>52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f t="shared" si="28"/>
        <v>0</v>
      </c>
      <c r="S939" t="s">
        <v>497</v>
      </c>
      <c r="T939">
        <v>16</v>
      </c>
      <c r="U939" t="str">
        <f t="shared" si="29"/>
        <v>Filippa Wallén:0</v>
      </c>
    </row>
    <row r="940" spans="1:21" x14ac:dyDescent="0.2">
      <c r="A940" t="s">
        <v>425</v>
      </c>
      <c r="B940" t="s">
        <v>606</v>
      </c>
      <c r="C940" t="s">
        <v>607</v>
      </c>
      <c r="D940" t="s">
        <v>50</v>
      </c>
      <c r="E940" t="s">
        <v>426</v>
      </c>
      <c r="F940">
        <v>19</v>
      </c>
      <c r="G940">
        <v>1999</v>
      </c>
      <c r="H940">
        <v>6</v>
      </c>
      <c r="I940">
        <v>3</v>
      </c>
      <c r="J940">
        <v>268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f t="shared" si="28"/>
        <v>0</v>
      </c>
      <c r="S940" t="s">
        <v>497</v>
      </c>
      <c r="T940">
        <v>9</v>
      </c>
      <c r="U940" t="str">
        <f t="shared" si="29"/>
        <v>Flo Allen:0</v>
      </c>
    </row>
    <row r="941" spans="1:21" x14ac:dyDescent="0.2">
      <c r="A941" t="s">
        <v>182</v>
      </c>
      <c r="B941" t="s">
        <v>606</v>
      </c>
      <c r="C941" t="s">
        <v>607</v>
      </c>
      <c r="D941" t="s">
        <v>42</v>
      </c>
      <c r="E941" t="s">
        <v>20</v>
      </c>
      <c r="F941">
        <v>26</v>
      </c>
      <c r="G941">
        <v>1993</v>
      </c>
      <c r="H941">
        <v>4</v>
      </c>
      <c r="I941">
        <v>2</v>
      </c>
      <c r="J941">
        <v>194</v>
      </c>
      <c r="K941">
        <v>0</v>
      </c>
      <c r="L941">
        <v>3</v>
      </c>
      <c r="M941">
        <v>0</v>
      </c>
      <c r="N941">
        <v>0</v>
      </c>
      <c r="O941">
        <v>0</v>
      </c>
      <c r="P941">
        <v>0</v>
      </c>
      <c r="Q941">
        <v>0</v>
      </c>
      <c r="R941">
        <f t="shared" si="28"/>
        <v>0</v>
      </c>
      <c r="S941" t="s">
        <v>497</v>
      </c>
      <c r="T941">
        <v>39</v>
      </c>
      <c r="U941" t="str">
        <f t="shared" si="29"/>
        <v>Fran Kirby:3</v>
      </c>
    </row>
    <row r="942" spans="1:21" x14ac:dyDescent="0.2">
      <c r="A942" t="s">
        <v>521</v>
      </c>
      <c r="B942" t="s">
        <v>606</v>
      </c>
      <c r="C942" t="s">
        <v>607</v>
      </c>
      <c r="D942" t="s">
        <v>40</v>
      </c>
      <c r="E942" t="s">
        <v>65</v>
      </c>
      <c r="F942">
        <v>21</v>
      </c>
      <c r="G942">
        <v>1998</v>
      </c>
      <c r="H942">
        <v>4</v>
      </c>
      <c r="I942">
        <v>4</v>
      </c>
      <c r="J942">
        <v>360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f t="shared" si="28"/>
        <v>0</v>
      </c>
      <c r="S942" t="s">
        <v>497</v>
      </c>
      <c r="T942">
        <v>6</v>
      </c>
      <c r="U942" t="str">
        <f t="shared" si="29"/>
        <v>Frances Kitching:0</v>
      </c>
    </row>
    <row r="943" spans="1:21" x14ac:dyDescent="0.2">
      <c r="A943" t="s">
        <v>504</v>
      </c>
      <c r="B943" t="s">
        <v>652</v>
      </c>
      <c r="C943" t="s">
        <v>653</v>
      </c>
      <c r="D943" t="s">
        <v>94</v>
      </c>
      <c r="E943" t="s">
        <v>426</v>
      </c>
      <c r="F943">
        <v>31</v>
      </c>
      <c r="G943">
        <v>1987</v>
      </c>
      <c r="H943">
        <v>13</v>
      </c>
      <c r="I943">
        <v>13</v>
      </c>
      <c r="J943">
        <v>1144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2</v>
      </c>
      <c r="Q943">
        <v>0</v>
      </c>
      <c r="R943">
        <f t="shared" si="28"/>
        <v>0</v>
      </c>
      <c r="S943" t="s">
        <v>497</v>
      </c>
      <c r="T943">
        <v>9</v>
      </c>
      <c r="U943" t="str">
        <f t="shared" si="29"/>
        <v>Frankie Brown:0</v>
      </c>
    </row>
    <row r="944" spans="1:21" x14ac:dyDescent="0.2">
      <c r="A944" t="s">
        <v>144</v>
      </c>
      <c r="B944" t="s">
        <v>606</v>
      </c>
      <c r="C944" t="s">
        <v>607</v>
      </c>
      <c r="D944" t="s">
        <v>26</v>
      </c>
      <c r="E944" t="s">
        <v>360</v>
      </c>
      <c r="F944">
        <v>16</v>
      </c>
      <c r="G944">
        <v>2003</v>
      </c>
      <c r="H944">
        <v>3</v>
      </c>
      <c r="I944">
        <v>1</v>
      </c>
      <c r="J944">
        <v>85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f t="shared" si="28"/>
        <v>0</v>
      </c>
      <c r="S944" t="s">
        <v>497</v>
      </c>
      <c r="T944">
        <v>7</v>
      </c>
      <c r="U944" t="str">
        <f t="shared" si="29"/>
        <v>Freya Gregory:0</v>
      </c>
    </row>
    <row r="945" spans="1:21" x14ac:dyDescent="0.2">
      <c r="A945" t="s">
        <v>131</v>
      </c>
      <c r="B945" t="s">
        <v>606</v>
      </c>
      <c r="C945" t="s">
        <v>607</v>
      </c>
      <c r="D945" t="s">
        <v>50</v>
      </c>
      <c r="E945" t="s">
        <v>55</v>
      </c>
      <c r="F945">
        <v>22</v>
      </c>
      <c r="G945">
        <v>1997</v>
      </c>
      <c r="H945">
        <v>13</v>
      </c>
      <c r="I945">
        <v>13</v>
      </c>
      <c r="J945">
        <v>1170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3</v>
      </c>
      <c r="Q945">
        <v>0</v>
      </c>
      <c r="R945">
        <f t="shared" si="28"/>
        <v>0</v>
      </c>
      <c r="S945" t="s">
        <v>497</v>
      </c>
      <c r="T945">
        <v>19</v>
      </c>
      <c r="U945" t="str">
        <f t="shared" si="29"/>
        <v>Gabrielle George:0</v>
      </c>
    </row>
    <row r="946" spans="1:21" x14ac:dyDescent="0.2">
      <c r="A946" t="s">
        <v>66</v>
      </c>
      <c r="B946" t="s">
        <v>606</v>
      </c>
      <c r="C946" t="s">
        <v>607</v>
      </c>
      <c r="D946" t="s">
        <v>50</v>
      </c>
      <c r="E946" t="s">
        <v>32</v>
      </c>
      <c r="F946">
        <v>28</v>
      </c>
      <c r="G946">
        <v>1991</v>
      </c>
      <c r="H946">
        <v>16</v>
      </c>
      <c r="I946">
        <v>16</v>
      </c>
      <c r="J946">
        <v>1440</v>
      </c>
      <c r="K946">
        <v>3</v>
      </c>
      <c r="L946">
        <v>0</v>
      </c>
      <c r="M946">
        <v>3</v>
      </c>
      <c r="N946">
        <v>0</v>
      </c>
      <c r="O946">
        <v>0</v>
      </c>
      <c r="P946">
        <v>3</v>
      </c>
      <c r="Q946">
        <v>0</v>
      </c>
      <c r="R946">
        <f t="shared" si="28"/>
        <v>2.3148148148148147E-5</v>
      </c>
      <c r="S946" t="s">
        <v>497</v>
      </c>
      <c r="T946">
        <v>40</v>
      </c>
      <c r="U946" t="str">
        <f t="shared" si="29"/>
        <v>Gemma Bonner:0</v>
      </c>
    </row>
    <row r="947" spans="1:21" x14ac:dyDescent="0.2">
      <c r="A947" t="s">
        <v>361</v>
      </c>
      <c r="B947" t="s">
        <v>606</v>
      </c>
      <c r="C947" t="s">
        <v>607</v>
      </c>
      <c r="D947" t="s">
        <v>23</v>
      </c>
      <c r="E947" t="s">
        <v>30</v>
      </c>
      <c r="F947">
        <v>32</v>
      </c>
      <c r="G947">
        <v>1987</v>
      </c>
      <c r="H947">
        <v>12</v>
      </c>
      <c r="I947">
        <v>9</v>
      </c>
      <c r="J947">
        <v>876</v>
      </c>
      <c r="K947">
        <v>0</v>
      </c>
      <c r="L947">
        <v>1</v>
      </c>
      <c r="M947">
        <v>0</v>
      </c>
      <c r="N947">
        <v>0</v>
      </c>
      <c r="O947">
        <v>0</v>
      </c>
      <c r="P947">
        <v>0</v>
      </c>
      <c r="Q947">
        <v>0</v>
      </c>
      <c r="R947">
        <f t="shared" si="28"/>
        <v>0</v>
      </c>
      <c r="S947" t="s">
        <v>497</v>
      </c>
      <c r="T947">
        <v>20</v>
      </c>
      <c r="U947" t="str">
        <f t="shared" si="29"/>
        <v>Gemma Davison:1</v>
      </c>
    </row>
    <row r="948" spans="1:21" x14ac:dyDescent="0.2">
      <c r="A948" t="s">
        <v>113</v>
      </c>
      <c r="B948" t="s">
        <v>624</v>
      </c>
      <c r="C948" t="s">
        <v>625</v>
      </c>
      <c r="D948" t="s">
        <v>50</v>
      </c>
      <c r="E948" t="s">
        <v>426</v>
      </c>
      <c r="F948">
        <v>22</v>
      </c>
      <c r="G948">
        <v>1996</v>
      </c>
      <c r="H948">
        <v>12</v>
      </c>
      <c r="I948">
        <v>11</v>
      </c>
      <c r="J948">
        <v>1010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1</v>
      </c>
      <c r="Q948">
        <v>0</v>
      </c>
      <c r="R948">
        <f t="shared" si="28"/>
        <v>0</v>
      </c>
      <c r="S948" t="s">
        <v>497</v>
      </c>
      <c r="T948">
        <v>9</v>
      </c>
      <c r="U948" t="str">
        <f t="shared" si="29"/>
        <v>Gemma Evans:0</v>
      </c>
    </row>
    <row r="949" spans="1:21" x14ac:dyDescent="0.2">
      <c r="A949" t="s">
        <v>72</v>
      </c>
      <c r="B949" t="s">
        <v>606</v>
      </c>
      <c r="C949" t="s">
        <v>607</v>
      </c>
      <c r="D949" t="s">
        <v>50</v>
      </c>
      <c r="E949" t="s">
        <v>360</v>
      </c>
      <c r="F949">
        <v>23</v>
      </c>
      <c r="G949">
        <v>1996</v>
      </c>
      <c r="H949">
        <v>2</v>
      </c>
      <c r="I949">
        <v>2</v>
      </c>
      <c r="J949">
        <v>180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f t="shared" si="28"/>
        <v>0</v>
      </c>
      <c r="S949" t="s">
        <v>497</v>
      </c>
      <c r="T949">
        <v>7</v>
      </c>
      <c r="U949" t="str">
        <f t="shared" si="29"/>
        <v>Georgia Brougham:0</v>
      </c>
    </row>
    <row r="950" spans="1:21" x14ac:dyDescent="0.2">
      <c r="A950" t="s">
        <v>412</v>
      </c>
      <c r="B950" t="s">
        <v>606</v>
      </c>
      <c r="C950" t="s">
        <v>607</v>
      </c>
      <c r="D950" t="s">
        <v>248</v>
      </c>
      <c r="E950" t="s">
        <v>32</v>
      </c>
      <c r="F950">
        <v>20</v>
      </c>
      <c r="G950">
        <v>1999</v>
      </c>
      <c r="H950">
        <v>13</v>
      </c>
      <c r="I950">
        <v>8</v>
      </c>
      <c r="J950">
        <v>832</v>
      </c>
      <c r="K950">
        <v>4</v>
      </c>
      <c r="L950">
        <v>2</v>
      </c>
      <c r="M950">
        <v>4</v>
      </c>
      <c r="N950">
        <v>0</v>
      </c>
      <c r="O950">
        <v>1</v>
      </c>
      <c r="P950">
        <v>3</v>
      </c>
      <c r="Q950">
        <v>1</v>
      </c>
      <c r="R950">
        <f t="shared" si="28"/>
        <v>5.3418803418803419E-5</v>
      </c>
      <c r="S950" t="s">
        <v>497</v>
      </c>
      <c r="T950">
        <v>40</v>
      </c>
      <c r="U950" t="str">
        <f t="shared" si="29"/>
        <v>Georgia Stanway:2</v>
      </c>
    </row>
    <row r="951" spans="1:21" x14ac:dyDescent="0.2">
      <c r="A951" t="s">
        <v>493</v>
      </c>
      <c r="B951" t="s">
        <v>606</v>
      </c>
      <c r="C951" t="s">
        <v>607</v>
      </c>
      <c r="D951" t="s">
        <v>23</v>
      </c>
      <c r="E951" t="s">
        <v>426</v>
      </c>
      <c r="F951">
        <v>17</v>
      </c>
      <c r="G951">
        <v>2002</v>
      </c>
      <c r="H951">
        <v>8</v>
      </c>
      <c r="I951">
        <v>5</v>
      </c>
      <c r="J951">
        <v>397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1</v>
      </c>
      <c r="Q951">
        <v>0</v>
      </c>
      <c r="R951">
        <f t="shared" si="28"/>
        <v>0</v>
      </c>
      <c r="S951" t="s">
        <v>497</v>
      </c>
      <c r="T951">
        <v>9</v>
      </c>
      <c r="U951" t="str">
        <f t="shared" si="29"/>
        <v>Georgia Wilson:0</v>
      </c>
    </row>
    <row r="952" spans="1:21" x14ac:dyDescent="0.2">
      <c r="A952" t="s">
        <v>120</v>
      </c>
      <c r="B952" t="s">
        <v>606</v>
      </c>
      <c r="C952" t="s">
        <v>607</v>
      </c>
      <c r="D952" t="s">
        <v>50</v>
      </c>
      <c r="E952" t="s">
        <v>24</v>
      </c>
      <c r="F952">
        <v>27</v>
      </c>
      <c r="G952">
        <v>1991</v>
      </c>
      <c r="H952">
        <v>14</v>
      </c>
      <c r="I952">
        <v>14</v>
      </c>
      <c r="J952">
        <v>1260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2</v>
      </c>
      <c r="Q952">
        <v>0</v>
      </c>
      <c r="R952">
        <f t="shared" si="28"/>
        <v>0</v>
      </c>
      <c r="S952" t="s">
        <v>497</v>
      </c>
      <c r="T952">
        <v>16</v>
      </c>
      <c r="U952" t="str">
        <f t="shared" si="29"/>
        <v>Gilly Flaherty:0</v>
      </c>
    </row>
    <row r="953" spans="1:21" x14ac:dyDescent="0.2">
      <c r="A953" t="s">
        <v>119</v>
      </c>
      <c r="B953" t="s">
        <v>606</v>
      </c>
      <c r="C953" t="s">
        <v>607</v>
      </c>
      <c r="D953" t="s">
        <v>50</v>
      </c>
      <c r="E953" t="s">
        <v>24</v>
      </c>
      <c r="F953">
        <v>21</v>
      </c>
      <c r="G953">
        <v>1998</v>
      </c>
      <c r="H953">
        <v>5</v>
      </c>
      <c r="I953">
        <v>5</v>
      </c>
      <c r="J953">
        <v>422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1</v>
      </c>
      <c r="Q953">
        <v>0</v>
      </c>
      <c r="R953">
        <f t="shared" si="28"/>
        <v>0</v>
      </c>
      <c r="S953" t="s">
        <v>497</v>
      </c>
      <c r="T953">
        <v>16</v>
      </c>
      <c r="U953" t="str">
        <f t="shared" si="29"/>
        <v>Grace Fisk:0</v>
      </c>
    </row>
    <row r="954" spans="1:21" x14ac:dyDescent="0.2">
      <c r="A954" t="s">
        <v>220</v>
      </c>
      <c r="B954" t="s">
        <v>632</v>
      </c>
      <c r="C954" t="s">
        <v>633</v>
      </c>
      <c r="D954" t="s">
        <v>40</v>
      </c>
      <c r="E954" t="s">
        <v>35</v>
      </c>
      <c r="F954">
        <v>26</v>
      </c>
      <c r="G954">
        <v>1993</v>
      </c>
      <c r="H954">
        <v>10</v>
      </c>
      <c r="I954">
        <v>10</v>
      </c>
      <c r="J954">
        <v>827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1</v>
      </c>
      <c r="Q954">
        <v>1</v>
      </c>
      <c r="R954">
        <f t="shared" si="28"/>
        <v>0</v>
      </c>
      <c r="S954" t="s">
        <v>497</v>
      </c>
      <c r="T954">
        <v>21</v>
      </c>
      <c r="U954" t="str">
        <f t="shared" si="29"/>
        <v>Grace Moloney:0</v>
      </c>
    </row>
    <row r="955" spans="1:21" x14ac:dyDescent="0.2">
      <c r="A955" t="s">
        <v>258</v>
      </c>
      <c r="B955" t="s">
        <v>618</v>
      </c>
      <c r="C955" t="s">
        <v>619</v>
      </c>
      <c r="D955" t="s">
        <v>23</v>
      </c>
      <c r="E955" t="s">
        <v>20</v>
      </c>
      <c r="F955">
        <v>25</v>
      </c>
      <c r="G955">
        <v>1994</v>
      </c>
      <c r="H955">
        <v>15</v>
      </c>
      <c r="I955">
        <v>15</v>
      </c>
      <c r="J955">
        <v>1205</v>
      </c>
      <c r="K955">
        <v>5</v>
      </c>
      <c r="L955">
        <v>7</v>
      </c>
      <c r="M955">
        <v>5</v>
      </c>
      <c r="N955">
        <v>0</v>
      </c>
      <c r="O955">
        <v>0</v>
      </c>
      <c r="P955">
        <v>0</v>
      </c>
      <c r="Q955">
        <v>0</v>
      </c>
      <c r="R955">
        <f t="shared" si="28"/>
        <v>4.6104195481788842E-5</v>
      </c>
      <c r="S955" t="s">
        <v>497</v>
      </c>
      <c r="T955">
        <v>39</v>
      </c>
      <c r="U955" t="str">
        <f t="shared" si="29"/>
        <v>Guro Reiten:7</v>
      </c>
    </row>
    <row r="956" spans="1:21" x14ac:dyDescent="0.2">
      <c r="A956" t="s">
        <v>63</v>
      </c>
      <c r="B956" t="s">
        <v>606</v>
      </c>
      <c r="C956" t="s">
        <v>607</v>
      </c>
      <c r="D956" t="s">
        <v>50</v>
      </c>
      <c r="E956" t="s">
        <v>20</v>
      </c>
      <c r="F956">
        <v>25</v>
      </c>
      <c r="G956">
        <v>1994</v>
      </c>
      <c r="H956">
        <v>8</v>
      </c>
      <c r="I956">
        <v>4</v>
      </c>
      <c r="J956">
        <v>417</v>
      </c>
      <c r="K956">
        <v>1</v>
      </c>
      <c r="L956">
        <v>0</v>
      </c>
      <c r="M956">
        <v>1</v>
      </c>
      <c r="N956">
        <v>0</v>
      </c>
      <c r="O956">
        <v>0</v>
      </c>
      <c r="P956">
        <v>0</v>
      </c>
      <c r="Q956">
        <v>0</v>
      </c>
      <c r="R956">
        <f t="shared" si="28"/>
        <v>2.6645350386357579E-5</v>
      </c>
      <c r="S956" t="s">
        <v>497</v>
      </c>
      <c r="T956">
        <v>39</v>
      </c>
      <c r="U956" t="str">
        <f t="shared" si="29"/>
        <v>Hannah Blundell:0</v>
      </c>
    </row>
    <row r="957" spans="1:21" x14ac:dyDescent="0.2">
      <c r="A957" t="s">
        <v>78</v>
      </c>
      <c r="B957" t="s">
        <v>624</v>
      </c>
      <c r="C957" t="s">
        <v>625</v>
      </c>
      <c r="D957" t="s">
        <v>26</v>
      </c>
      <c r="E957" t="s">
        <v>55</v>
      </c>
      <c r="F957">
        <v>20</v>
      </c>
      <c r="G957">
        <v>1999</v>
      </c>
      <c r="H957">
        <v>13</v>
      </c>
      <c r="I957">
        <v>5</v>
      </c>
      <c r="J957">
        <v>551</v>
      </c>
      <c r="K957">
        <v>0</v>
      </c>
      <c r="L957">
        <v>1</v>
      </c>
      <c r="M957">
        <v>0</v>
      </c>
      <c r="N957">
        <v>0</v>
      </c>
      <c r="O957">
        <v>0</v>
      </c>
      <c r="P957">
        <v>2</v>
      </c>
      <c r="Q957">
        <v>0</v>
      </c>
      <c r="R957">
        <f t="shared" si="28"/>
        <v>0</v>
      </c>
      <c r="S957" t="s">
        <v>497</v>
      </c>
      <c r="T957">
        <v>19</v>
      </c>
      <c r="U957" t="str">
        <f t="shared" si="29"/>
        <v>Hannah Cain:1</v>
      </c>
    </row>
    <row r="958" spans="1:21" x14ac:dyDescent="0.2">
      <c r="A958" t="s">
        <v>444</v>
      </c>
      <c r="B958" t="s">
        <v>652</v>
      </c>
      <c r="C958" t="s">
        <v>653</v>
      </c>
      <c r="D958" t="s">
        <v>50</v>
      </c>
      <c r="E958" t="s">
        <v>30</v>
      </c>
      <c r="F958">
        <v>22</v>
      </c>
      <c r="G958">
        <v>1997</v>
      </c>
      <c r="H958">
        <v>14</v>
      </c>
      <c r="I958">
        <v>14</v>
      </c>
      <c r="J958">
        <v>1260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2</v>
      </c>
      <c r="Q958">
        <v>0</v>
      </c>
      <c r="R958">
        <f t="shared" si="28"/>
        <v>0</v>
      </c>
      <c r="S958" t="s">
        <v>497</v>
      </c>
      <c r="T958">
        <v>20</v>
      </c>
      <c r="U958" t="str">
        <f t="shared" si="29"/>
        <v>Hannah Godfrey:0</v>
      </c>
    </row>
    <row r="959" spans="1:21" x14ac:dyDescent="0.2">
      <c r="A959" t="s">
        <v>146</v>
      </c>
      <c r="B959" t="s">
        <v>606</v>
      </c>
      <c r="C959" t="s">
        <v>607</v>
      </c>
      <c r="D959" t="s">
        <v>40</v>
      </c>
      <c r="E959" t="s">
        <v>360</v>
      </c>
      <c r="F959">
        <v>18</v>
      </c>
      <c r="G959">
        <v>2000</v>
      </c>
      <c r="H959">
        <v>13</v>
      </c>
      <c r="I959">
        <v>13</v>
      </c>
      <c r="J959">
        <v>1170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f t="shared" si="28"/>
        <v>0</v>
      </c>
      <c r="S959" t="s">
        <v>497</v>
      </c>
      <c r="T959">
        <v>7</v>
      </c>
      <c r="U959" t="str">
        <f t="shared" si="29"/>
        <v>Hannah Hampton:0</v>
      </c>
    </row>
    <row r="960" spans="1:21" x14ac:dyDescent="0.2">
      <c r="A960" t="s">
        <v>407</v>
      </c>
      <c r="B960" t="s">
        <v>632</v>
      </c>
      <c r="C960" t="s">
        <v>633</v>
      </c>
      <c r="D960" t="s">
        <v>50</v>
      </c>
      <c r="E960" t="s">
        <v>360</v>
      </c>
      <c r="F960">
        <v>26</v>
      </c>
      <c r="G960">
        <v>1993</v>
      </c>
      <c r="H960">
        <v>11</v>
      </c>
      <c r="I960">
        <v>9</v>
      </c>
      <c r="J960">
        <v>793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1</v>
      </c>
      <c r="Q960">
        <v>0</v>
      </c>
      <c r="R960">
        <f t="shared" si="28"/>
        <v>0</v>
      </c>
      <c r="S960" t="s">
        <v>497</v>
      </c>
      <c r="T960">
        <v>7</v>
      </c>
      <c r="U960" t="str">
        <f t="shared" si="29"/>
        <v>Harriet Scott:0</v>
      </c>
    </row>
    <row r="961" spans="1:21" x14ac:dyDescent="0.2">
      <c r="A961" t="s">
        <v>188</v>
      </c>
      <c r="B961" t="s">
        <v>624</v>
      </c>
      <c r="C961" t="s">
        <v>625</v>
      </c>
      <c r="D961" t="s">
        <v>34</v>
      </c>
      <c r="E961" t="s">
        <v>52</v>
      </c>
      <c r="F961">
        <v>25</v>
      </c>
      <c r="G961">
        <v>1993</v>
      </c>
      <c r="H961">
        <v>14</v>
      </c>
      <c r="I961">
        <v>14</v>
      </c>
      <c r="J961">
        <v>1229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3</v>
      </c>
      <c r="Q961">
        <v>0</v>
      </c>
      <c r="R961">
        <f t="shared" si="28"/>
        <v>0</v>
      </c>
      <c r="S961" t="s">
        <v>497</v>
      </c>
      <c r="T961">
        <v>23</v>
      </c>
      <c r="U961" t="str">
        <f t="shared" si="29"/>
        <v>Hayley Ladd:0</v>
      </c>
    </row>
    <row r="962" spans="1:21" x14ac:dyDescent="0.2">
      <c r="A962" t="s">
        <v>388</v>
      </c>
      <c r="B962" t="s">
        <v>626</v>
      </c>
      <c r="C962" t="s">
        <v>627</v>
      </c>
      <c r="D962" t="s">
        <v>42</v>
      </c>
      <c r="E962" t="s">
        <v>55</v>
      </c>
      <c r="F962">
        <v>23</v>
      </c>
      <c r="G962">
        <v>1996</v>
      </c>
      <c r="H962">
        <v>12</v>
      </c>
      <c r="I962">
        <v>12</v>
      </c>
      <c r="J962">
        <v>985</v>
      </c>
      <c r="K962">
        <v>1</v>
      </c>
      <c r="L962">
        <v>2</v>
      </c>
      <c r="M962">
        <v>1</v>
      </c>
      <c r="N962">
        <v>0</v>
      </c>
      <c r="O962">
        <v>0</v>
      </c>
      <c r="P962">
        <v>2</v>
      </c>
      <c r="Q962">
        <v>0</v>
      </c>
      <c r="R962">
        <f t="shared" si="28"/>
        <v>1.1280315848843769E-5</v>
      </c>
      <c r="S962" t="s">
        <v>497</v>
      </c>
      <c r="T962">
        <v>19</v>
      </c>
      <c r="U962" t="str">
        <f t="shared" si="29"/>
        <v>Inessa Kaagman:2</v>
      </c>
    </row>
    <row r="963" spans="1:21" x14ac:dyDescent="0.2">
      <c r="A963" t="s">
        <v>540</v>
      </c>
      <c r="B963" t="s">
        <v>634</v>
      </c>
      <c r="C963" t="s">
        <v>635</v>
      </c>
      <c r="D963" t="s">
        <v>26</v>
      </c>
      <c r="E963" t="s">
        <v>48</v>
      </c>
      <c r="F963">
        <v>25</v>
      </c>
      <c r="G963">
        <v>1994</v>
      </c>
      <c r="H963">
        <v>14</v>
      </c>
      <c r="I963">
        <v>6</v>
      </c>
      <c r="J963">
        <v>635</v>
      </c>
      <c r="K963">
        <v>1</v>
      </c>
      <c r="L963">
        <v>0</v>
      </c>
      <c r="M963">
        <v>1</v>
      </c>
      <c r="N963">
        <v>0</v>
      </c>
      <c r="O963">
        <v>0</v>
      </c>
      <c r="P963">
        <v>1</v>
      </c>
      <c r="Q963">
        <v>0</v>
      </c>
      <c r="R963">
        <f t="shared" ref="R963:R1026" si="30">K963/J963/90</f>
        <v>1.7497812773403324E-5</v>
      </c>
      <c r="S963" t="s">
        <v>497</v>
      </c>
      <c r="T963">
        <v>13</v>
      </c>
      <c r="U963" t="str">
        <f t="shared" ref="U963:U1026" si="31">CONCATENATE(A963, ":", L963)</f>
        <v>Iniabasi Umotong:0</v>
      </c>
    </row>
    <row r="964" spans="1:21" x14ac:dyDescent="0.2">
      <c r="A964" t="s">
        <v>375</v>
      </c>
      <c r="B964" t="s">
        <v>626</v>
      </c>
      <c r="C964" t="s">
        <v>627</v>
      </c>
      <c r="D964" t="s">
        <v>34</v>
      </c>
      <c r="E964" t="s">
        <v>52</v>
      </c>
      <c r="F964">
        <v>24</v>
      </c>
      <c r="G964">
        <v>1994</v>
      </c>
      <c r="H964">
        <v>12</v>
      </c>
      <c r="I964">
        <v>12</v>
      </c>
      <c r="J964">
        <v>1024</v>
      </c>
      <c r="K964">
        <v>0</v>
      </c>
      <c r="L964">
        <v>1</v>
      </c>
      <c r="M964">
        <v>0</v>
      </c>
      <c r="N964">
        <v>0</v>
      </c>
      <c r="O964">
        <v>0</v>
      </c>
      <c r="P964">
        <v>0</v>
      </c>
      <c r="Q964">
        <v>0</v>
      </c>
      <c r="R964">
        <f t="shared" si="30"/>
        <v>0</v>
      </c>
      <c r="S964" t="s">
        <v>497</v>
      </c>
      <c r="T964">
        <v>23</v>
      </c>
      <c r="U964" t="str">
        <f t="shared" si="31"/>
        <v>Jackie Groenen:1</v>
      </c>
    </row>
    <row r="965" spans="1:21" x14ac:dyDescent="0.2">
      <c r="A965" t="s">
        <v>514</v>
      </c>
      <c r="B965" t="s">
        <v>612</v>
      </c>
      <c r="C965" t="s">
        <v>613</v>
      </c>
      <c r="D965" t="s">
        <v>23</v>
      </c>
      <c r="E965" t="s">
        <v>24</v>
      </c>
      <c r="F965">
        <v>18</v>
      </c>
      <c r="G965">
        <v>2001</v>
      </c>
      <c r="H965">
        <v>11</v>
      </c>
      <c r="I965">
        <v>5</v>
      </c>
      <c r="J965">
        <v>490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3</v>
      </c>
      <c r="Q965">
        <v>0</v>
      </c>
      <c r="R965">
        <f t="shared" si="30"/>
        <v>0</v>
      </c>
      <c r="S965" t="s">
        <v>497</v>
      </c>
      <c r="T965">
        <v>16</v>
      </c>
      <c r="U965" t="str">
        <f t="shared" si="31"/>
        <v>Jacynta Galabadaarachchi:0</v>
      </c>
    </row>
    <row r="966" spans="1:21" x14ac:dyDescent="0.2">
      <c r="A966" t="s">
        <v>500</v>
      </c>
      <c r="B966" t="s">
        <v>650</v>
      </c>
      <c r="C966" t="s">
        <v>651</v>
      </c>
      <c r="D966" t="s">
        <v>34</v>
      </c>
      <c r="E966" t="s">
        <v>65</v>
      </c>
      <c r="F966">
        <v>23</v>
      </c>
      <c r="G966">
        <v>1995</v>
      </c>
      <c r="H966">
        <v>13</v>
      </c>
      <c r="I966">
        <v>13</v>
      </c>
      <c r="J966">
        <v>1135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f t="shared" si="30"/>
        <v>0</v>
      </c>
      <c r="S966" t="s">
        <v>497</v>
      </c>
      <c r="T966">
        <v>6</v>
      </c>
      <c r="U966" t="str">
        <f t="shared" si="31"/>
        <v>Jade Bailey:0</v>
      </c>
    </row>
    <row r="967" spans="1:21" x14ac:dyDescent="0.2">
      <c r="A967" t="s">
        <v>221</v>
      </c>
      <c r="B967" t="s">
        <v>606</v>
      </c>
      <c r="C967" t="s">
        <v>607</v>
      </c>
      <c r="D967" t="s">
        <v>34</v>
      </c>
      <c r="E967" t="s">
        <v>35</v>
      </c>
      <c r="F967">
        <v>28</v>
      </c>
      <c r="G967">
        <v>1990</v>
      </c>
      <c r="H967">
        <v>14</v>
      </c>
      <c r="I967">
        <v>14</v>
      </c>
      <c r="J967">
        <v>1230</v>
      </c>
      <c r="K967">
        <v>4</v>
      </c>
      <c r="L967">
        <v>0</v>
      </c>
      <c r="M967">
        <v>4</v>
      </c>
      <c r="N967">
        <v>0</v>
      </c>
      <c r="O967">
        <v>0</v>
      </c>
      <c r="P967">
        <v>5</v>
      </c>
      <c r="Q967">
        <v>0</v>
      </c>
      <c r="R967">
        <f t="shared" si="30"/>
        <v>3.6133694670280034E-5</v>
      </c>
      <c r="S967" t="s">
        <v>497</v>
      </c>
      <c r="T967">
        <v>21</v>
      </c>
      <c r="U967" t="str">
        <f t="shared" si="31"/>
        <v>Jade Moore:0</v>
      </c>
    </row>
    <row r="968" spans="1:21" x14ac:dyDescent="0.2">
      <c r="A968" t="s">
        <v>471</v>
      </c>
      <c r="B968" t="s">
        <v>652</v>
      </c>
      <c r="C968" t="s">
        <v>653</v>
      </c>
      <c r="D968" t="s">
        <v>34</v>
      </c>
      <c r="E968" t="s">
        <v>20</v>
      </c>
      <c r="F968">
        <v>19</v>
      </c>
      <c r="G968">
        <v>2000</v>
      </c>
      <c r="H968">
        <v>2</v>
      </c>
      <c r="I968">
        <v>0</v>
      </c>
      <c r="J968">
        <v>16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f t="shared" si="30"/>
        <v>0</v>
      </c>
      <c r="S968" t="s">
        <v>497</v>
      </c>
      <c r="T968">
        <v>39</v>
      </c>
      <c r="U968" t="str">
        <f t="shared" si="31"/>
        <v>Jamie-Lee Napier:0</v>
      </c>
    </row>
    <row r="969" spans="1:21" x14ac:dyDescent="0.2">
      <c r="A969" t="s">
        <v>480</v>
      </c>
      <c r="B969" t="s">
        <v>652</v>
      </c>
      <c r="C969" t="s">
        <v>653</v>
      </c>
      <c r="D969" t="s">
        <v>26</v>
      </c>
      <c r="E969" t="s">
        <v>52</v>
      </c>
      <c r="F969">
        <v>29</v>
      </c>
      <c r="G969">
        <v>1989</v>
      </c>
      <c r="H969">
        <v>11</v>
      </c>
      <c r="I969">
        <v>7</v>
      </c>
      <c r="J969">
        <v>570</v>
      </c>
      <c r="K969">
        <v>1</v>
      </c>
      <c r="L969">
        <v>1</v>
      </c>
      <c r="M969">
        <v>1</v>
      </c>
      <c r="N969">
        <v>0</v>
      </c>
      <c r="O969">
        <v>0</v>
      </c>
      <c r="P969">
        <v>0</v>
      </c>
      <c r="Q969">
        <v>0</v>
      </c>
      <c r="R969">
        <f t="shared" si="30"/>
        <v>1.9493177387914231E-5</v>
      </c>
      <c r="S969" t="s">
        <v>497</v>
      </c>
      <c r="T969">
        <v>23</v>
      </c>
      <c r="U969" t="str">
        <f t="shared" si="31"/>
        <v>Jane Ross:1</v>
      </c>
    </row>
    <row r="970" spans="1:21" x14ac:dyDescent="0.2">
      <c r="A970" t="s">
        <v>348</v>
      </c>
      <c r="B970" t="s">
        <v>608</v>
      </c>
      <c r="C970" t="s">
        <v>609</v>
      </c>
      <c r="D970" t="s">
        <v>19</v>
      </c>
      <c r="E970" t="s">
        <v>32</v>
      </c>
      <c r="F970">
        <v>24</v>
      </c>
      <c r="G970">
        <v>1994</v>
      </c>
      <c r="H970">
        <v>14</v>
      </c>
      <c r="I970">
        <v>14</v>
      </c>
      <c r="J970">
        <v>1170</v>
      </c>
      <c r="K970">
        <v>0</v>
      </c>
      <c r="L970">
        <v>8</v>
      </c>
      <c r="M970">
        <v>0</v>
      </c>
      <c r="N970">
        <v>0</v>
      </c>
      <c r="O970">
        <v>0</v>
      </c>
      <c r="P970">
        <v>1</v>
      </c>
      <c r="Q970">
        <v>0</v>
      </c>
      <c r="R970">
        <f t="shared" si="30"/>
        <v>0</v>
      </c>
      <c r="S970" t="s">
        <v>497</v>
      </c>
      <c r="T970">
        <v>40</v>
      </c>
      <c r="U970" t="str">
        <f t="shared" si="31"/>
        <v>Janine Beckie:8</v>
      </c>
    </row>
    <row r="971" spans="1:21" x14ac:dyDescent="0.2">
      <c r="A971" t="s">
        <v>210</v>
      </c>
      <c r="B971" t="s">
        <v>606</v>
      </c>
      <c r="C971" t="s">
        <v>607</v>
      </c>
      <c r="D971" t="s">
        <v>29</v>
      </c>
      <c r="E971" t="s">
        <v>426</v>
      </c>
      <c r="F971">
        <v>26</v>
      </c>
      <c r="G971">
        <v>1993</v>
      </c>
      <c r="H971">
        <v>13</v>
      </c>
      <c r="I971">
        <v>13</v>
      </c>
      <c r="J971">
        <v>1170</v>
      </c>
      <c r="K971">
        <v>0</v>
      </c>
      <c r="L971">
        <v>1</v>
      </c>
      <c r="M971">
        <v>0</v>
      </c>
      <c r="N971">
        <v>0</v>
      </c>
      <c r="O971">
        <v>0</v>
      </c>
      <c r="P971">
        <v>0</v>
      </c>
      <c r="Q971">
        <v>0</v>
      </c>
      <c r="R971">
        <f t="shared" si="30"/>
        <v>0</v>
      </c>
      <c r="S971" t="s">
        <v>497</v>
      </c>
      <c r="T971">
        <v>9</v>
      </c>
      <c r="U971" t="str">
        <f t="shared" si="31"/>
        <v>Jasmine Matthews:1</v>
      </c>
    </row>
    <row r="972" spans="1:21" x14ac:dyDescent="0.2">
      <c r="A972" t="s">
        <v>252</v>
      </c>
      <c r="B972" t="s">
        <v>606</v>
      </c>
      <c r="C972" t="s">
        <v>607</v>
      </c>
      <c r="D972" t="s">
        <v>50</v>
      </c>
      <c r="E972" t="s">
        <v>65</v>
      </c>
      <c r="F972">
        <v>22</v>
      </c>
      <c r="G972">
        <v>1997</v>
      </c>
      <c r="H972">
        <v>2</v>
      </c>
      <c r="I972">
        <v>1</v>
      </c>
      <c r="J972">
        <v>114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f t="shared" si="30"/>
        <v>0</v>
      </c>
      <c r="S972" t="s">
        <v>497</v>
      </c>
      <c r="T972">
        <v>6</v>
      </c>
      <c r="U972" t="str">
        <f t="shared" si="31"/>
        <v>Jemma Purfield:0</v>
      </c>
    </row>
    <row r="973" spans="1:21" x14ac:dyDescent="0.2">
      <c r="A973" t="s">
        <v>535</v>
      </c>
      <c r="B973" t="s">
        <v>606</v>
      </c>
      <c r="C973" t="s">
        <v>607</v>
      </c>
      <c r="D973" t="s">
        <v>50</v>
      </c>
      <c r="E973" t="s">
        <v>30</v>
      </c>
      <c r="F973">
        <v>35</v>
      </c>
      <c r="G973">
        <v>1984</v>
      </c>
      <c r="H973">
        <v>3</v>
      </c>
      <c r="I973">
        <v>3</v>
      </c>
      <c r="J973">
        <v>270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1</v>
      </c>
      <c r="Q973">
        <v>0</v>
      </c>
      <c r="R973">
        <f t="shared" si="30"/>
        <v>0</v>
      </c>
      <c r="S973" t="s">
        <v>497</v>
      </c>
      <c r="T973">
        <v>20</v>
      </c>
      <c r="U973" t="str">
        <f t="shared" si="31"/>
        <v>Jenna Schillaci:0</v>
      </c>
    </row>
    <row r="974" spans="1:21" x14ac:dyDescent="0.2">
      <c r="A974" t="s">
        <v>53</v>
      </c>
      <c r="B974" t="s">
        <v>652</v>
      </c>
      <c r="C974" t="s">
        <v>653</v>
      </c>
      <c r="D974" t="s">
        <v>50</v>
      </c>
      <c r="E974" t="s">
        <v>27</v>
      </c>
      <c r="F974">
        <v>28</v>
      </c>
      <c r="G974">
        <v>1991</v>
      </c>
      <c r="H974">
        <v>10</v>
      </c>
      <c r="I974">
        <v>9</v>
      </c>
      <c r="J974">
        <v>822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1</v>
      </c>
      <c r="Q974">
        <v>0</v>
      </c>
      <c r="R974">
        <f t="shared" si="30"/>
        <v>0</v>
      </c>
      <c r="S974" t="s">
        <v>497</v>
      </c>
      <c r="T974">
        <v>36</v>
      </c>
      <c r="U974" t="str">
        <f t="shared" si="31"/>
        <v>Jennifer Beattie:0</v>
      </c>
    </row>
    <row r="975" spans="1:21" x14ac:dyDescent="0.2">
      <c r="A975" t="s">
        <v>369</v>
      </c>
      <c r="B975" t="s">
        <v>640</v>
      </c>
      <c r="C975" t="s">
        <v>641</v>
      </c>
      <c r="D975" t="s">
        <v>23</v>
      </c>
      <c r="E975" t="s">
        <v>426</v>
      </c>
      <c r="F975">
        <v>30</v>
      </c>
      <c r="G975">
        <v>1988</v>
      </c>
      <c r="H975">
        <v>2</v>
      </c>
      <c r="I975">
        <v>2</v>
      </c>
      <c r="J975">
        <v>120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f t="shared" si="30"/>
        <v>0</v>
      </c>
      <c r="S975" t="s">
        <v>497</v>
      </c>
      <c r="T975">
        <v>9</v>
      </c>
      <c r="U975" t="str">
        <f t="shared" si="31"/>
        <v>Jeon Ga-eul:0</v>
      </c>
    </row>
    <row r="976" spans="1:21" x14ac:dyDescent="0.2">
      <c r="A976" t="s">
        <v>83</v>
      </c>
      <c r="B976" t="s">
        <v>606</v>
      </c>
      <c r="C976" t="s">
        <v>607</v>
      </c>
      <c r="D976" t="s">
        <v>29</v>
      </c>
      <c r="E976" t="s">
        <v>20</v>
      </c>
      <c r="F976">
        <v>21</v>
      </c>
      <c r="G976">
        <v>1997</v>
      </c>
      <c r="H976">
        <v>8</v>
      </c>
      <c r="I976">
        <v>1</v>
      </c>
      <c r="J976">
        <v>173</v>
      </c>
      <c r="K976">
        <v>1</v>
      </c>
      <c r="L976">
        <v>1</v>
      </c>
      <c r="M976">
        <v>1</v>
      </c>
      <c r="N976">
        <v>0</v>
      </c>
      <c r="O976">
        <v>0</v>
      </c>
      <c r="P976">
        <v>1</v>
      </c>
      <c r="Q976">
        <v>0</v>
      </c>
      <c r="R976">
        <f t="shared" si="30"/>
        <v>6.4226075786769429E-5</v>
      </c>
      <c r="S976" t="s">
        <v>497</v>
      </c>
      <c r="T976">
        <v>39</v>
      </c>
      <c r="U976" t="str">
        <f t="shared" si="31"/>
        <v>Jess Carter:1</v>
      </c>
    </row>
    <row r="977" spans="1:21" x14ac:dyDescent="0.2">
      <c r="A977" t="s">
        <v>506</v>
      </c>
      <c r="B977" t="s">
        <v>606</v>
      </c>
      <c r="C977" t="s">
        <v>607</v>
      </c>
      <c r="D977" t="s">
        <v>42</v>
      </c>
      <c r="E977" t="s">
        <v>65</v>
      </c>
      <c r="F977">
        <v>30</v>
      </c>
      <c r="G977">
        <v>1989</v>
      </c>
      <c r="H977">
        <v>7</v>
      </c>
      <c r="I977">
        <v>4</v>
      </c>
      <c r="J977">
        <v>363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f t="shared" si="30"/>
        <v>0</v>
      </c>
      <c r="S977" t="s">
        <v>497</v>
      </c>
      <c r="T977">
        <v>6</v>
      </c>
      <c r="U977" t="str">
        <f t="shared" si="31"/>
        <v>Jessica Clarke:0</v>
      </c>
    </row>
    <row r="978" spans="1:21" x14ac:dyDescent="0.2">
      <c r="A978" t="s">
        <v>236</v>
      </c>
      <c r="B978" t="s">
        <v>606</v>
      </c>
      <c r="C978" t="s">
        <v>607</v>
      </c>
      <c r="D978" t="s">
        <v>34</v>
      </c>
      <c r="E978" t="s">
        <v>32</v>
      </c>
      <c r="F978">
        <v>17</v>
      </c>
      <c r="G978">
        <v>2001</v>
      </c>
      <c r="H978">
        <v>2</v>
      </c>
      <c r="I978">
        <v>0</v>
      </c>
      <c r="J978">
        <v>17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f t="shared" si="30"/>
        <v>0</v>
      </c>
      <c r="S978" t="s">
        <v>497</v>
      </c>
      <c r="T978">
        <v>40</v>
      </c>
      <c r="U978" t="str">
        <f t="shared" si="31"/>
        <v>Jessica Park:0</v>
      </c>
    </row>
    <row r="979" spans="1:21" x14ac:dyDescent="0.2">
      <c r="A979" t="s">
        <v>276</v>
      </c>
      <c r="B979" t="s">
        <v>606</v>
      </c>
      <c r="C979" t="s">
        <v>607</v>
      </c>
      <c r="D979" t="s">
        <v>42</v>
      </c>
      <c r="E979" t="s">
        <v>52</v>
      </c>
      <c r="F979">
        <v>24</v>
      </c>
      <c r="G979">
        <v>1994</v>
      </c>
      <c r="H979">
        <v>14</v>
      </c>
      <c r="I979">
        <v>7</v>
      </c>
      <c r="J979">
        <v>720</v>
      </c>
      <c r="K979">
        <v>2</v>
      </c>
      <c r="L979">
        <v>3</v>
      </c>
      <c r="M979">
        <v>2</v>
      </c>
      <c r="N979">
        <v>0</v>
      </c>
      <c r="O979">
        <v>0</v>
      </c>
      <c r="P979">
        <v>0</v>
      </c>
      <c r="Q979">
        <v>0</v>
      </c>
      <c r="R979">
        <f t="shared" si="30"/>
        <v>3.0864197530864198E-5</v>
      </c>
      <c r="S979" t="s">
        <v>497</v>
      </c>
      <c r="T979">
        <v>23</v>
      </c>
      <c r="U979" t="str">
        <f t="shared" si="31"/>
        <v>Jessica Sigsworth:3</v>
      </c>
    </row>
    <row r="980" spans="1:21" x14ac:dyDescent="0.2">
      <c r="A980" t="s">
        <v>411</v>
      </c>
      <c r="B980" t="s">
        <v>640</v>
      </c>
      <c r="C980" t="s">
        <v>641</v>
      </c>
      <c r="D980" t="s">
        <v>34</v>
      </c>
      <c r="E980" t="s">
        <v>20</v>
      </c>
      <c r="F980">
        <v>28</v>
      </c>
      <c r="G980">
        <v>1991</v>
      </c>
      <c r="H980">
        <v>13</v>
      </c>
      <c r="I980">
        <v>12</v>
      </c>
      <c r="J980">
        <v>999</v>
      </c>
      <c r="K980">
        <v>6</v>
      </c>
      <c r="L980">
        <v>3</v>
      </c>
      <c r="M980">
        <v>6</v>
      </c>
      <c r="N980">
        <v>0</v>
      </c>
      <c r="O980">
        <v>0</v>
      </c>
      <c r="P980">
        <v>1</v>
      </c>
      <c r="Q980">
        <v>0</v>
      </c>
      <c r="R980">
        <f t="shared" si="30"/>
        <v>6.6733400066733403E-5</v>
      </c>
      <c r="S980" t="s">
        <v>497</v>
      </c>
      <c r="T980">
        <v>39</v>
      </c>
      <c r="U980" t="str">
        <f t="shared" si="31"/>
        <v>Ji So-yun:3</v>
      </c>
    </row>
    <row r="981" spans="1:21" x14ac:dyDescent="0.2">
      <c r="A981" t="s">
        <v>478</v>
      </c>
      <c r="B981" t="s">
        <v>626</v>
      </c>
      <c r="C981" t="s">
        <v>627</v>
      </c>
      <c r="D981" t="s">
        <v>23</v>
      </c>
      <c r="E981" t="s">
        <v>27</v>
      </c>
      <c r="F981">
        <v>22</v>
      </c>
      <c r="G981">
        <v>1997</v>
      </c>
      <c r="H981">
        <v>14</v>
      </c>
      <c r="I981">
        <v>9</v>
      </c>
      <c r="J981">
        <v>848</v>
      </c>
      <c r="K981">
        <v>2</v>
      </c>
      <c r="L981">
        <v>0</v>
      </c>
      <c r="M981">
        <v>2</v>
      </c>
      <c r="N981">
        <v>0</v>
      </c>
      <c r="O981">
        <v>0</v>
      </c>
      <c r="P981">
        <v>4</v>
      </c>
      <c r="Q981">
        <v>0</v>
      </c>
      <c r="R981">
        <f t="shared" si="30"/>
        <v>2.6205450733752619E-5</v>
      </c>
      <c r="S981" t="s">
        <v>497</v>
      </c>
      <c r="T981">
        <v>36</v>
      </c>
      <c r="U981" t="str">
        <f t="shared" si="31"/>
        <v>Jill Roord:0</v>
      </c>
    </row>
    <row r="982" spans="1:21" x14ac:dyDescent="0.2">
      <c r="A982" t="s">
        <v>408</v>
      </c>
      <c r="B982" t="s">
        <v>606</v>
      </c>
      <c r="C982" t="s">
        <v>607</v>
      </c>
      <c r="D982" t="s">
        <v>34</v>
      </c>
      <c r="E982" t="s">
        <v>32</v>
      </c>
      <c r="F982">
        <v>32</v>
      </c>
      <c r="G982">
        <v>1987</v>
      </c>
      <c r="H982">
        <v>16</v>
      </c>
      <c r="I982">
        <v>15</v>
      </c>
      <c r="J982">
        <v>1287</v>
      </c>
      <c r="K982">
        <v>0</v>
      </c>
      <c r="L982">
        <v>3</v>
      </c>
      <c r="M982">
        <v>0</v>
      </c>
      <c r="N982">
        <v>0</v>
      </c>
      <c r="O982">
        <v>0</v>
      </c>
      <c r="P982">
        <v>1</v>
      </c>
      <c r="Q982">
        <v>0</v>
      </c>
      <c r="R982">
        <f t="shared" si="30"/>
        <v>0</v>
      </c>
      <c r="S982" t="s">
        <v>497</v>
      </c>
      <c r="T982">
        <v>40</v>
      </c>
      <c r="U982" t="str">
        <f t="shared" si="31"/>
        <v>Jill Scott:3</v>
      </c>
    </row>
    <row r="983" spans="1:21" x14ac:dyDescent="0.2">
      <c r="A983" t="s">
        <v>531</v>
      </c>
      <c r="B983" t="s">
        <v>606</v>
      </c>
      <c r="C983" t="s">
        <v>607</v>
      </c>
      <c r="D983" t="s">
        <v>50</v>
      </c>
      <c r="E983" t="s">
        <v>35</v>
      </c>
      <c r="F983">
        <v>34</v>
      </c>
      <c r="G983">
        <v>1984</v>
      </c>
      <c r="H983">
        <v>9</v>
      </c>
      <c r="I983">
        <v>8</v>
      </c>
      <c r="J983">
        <v>709</v>
      </c>
      <c r="K983">
        <v>1</v>
      </c>
      <c r="L983">
        <v>0</v>
      </c>
      <c r="M983">
        <v>1</v>
      </c>
      <c r="N983">
        <v>0</v>
      </c>
      <c r="O983">
        <v>0</v>
      </c>
      <c r="P983">
        <v>0</v>
      </c>
      <c r="Q983">
        <v>0</v>
      </c>
      <c r="R983">
        <f t="shared" si="30"/>
        <v>1.5671524839366872E-5</v>
      </c>
      <c r="S983" t="s">
        <v>497</v>
      </c>
      <c r="T983">
        <v>21</v>
      </c>
      <c r="U983" t="str">
        <f t="shared" si="31"/>
        <v>Jo Potter:0</v>
      </c>
    </row>
    <row r="984" spans="1:21" x14ac:dyDescent="0.2">
      <c r="A984" t="s">
        <v>341</v>
      </c>
      <c r="B984" t="s">
        <v>658</v>
      </c>
      <c r="C984" t="s">
        <v>659</v>
      </c>
      <c r="D984" t="s">
        <v>50</v>
      </c>
      <c r="E984" t="s">
        <v>20</v>
      </c>
      <c r="F984">
        <v>26</v>
      </c>
      <c r="G984">
        <v>1993</v>
      </c>
      <c r="H984">
        <v>15</v>
      </c>
      <c r="I984">
        <v>14</v>
      </c>
      <c r="J984">
        <v>1271</v>
      </c>
      <c r="K984">
        <v>0</v>
      </c>
      <c r="L984">
        <v>5</v>
      </c>
      <c r="M984">
        <v>0</v>
      </c>
      <c r="N984">
        <v>0</v>
      </c>
      <c r="O984">
        <v>0</v>
      </c>
      <c r="P984">
        <v>0</v>
      </c>
      <c r="Q984">
        <v>0</v>
      </c>
      <c r="R984">
        <f t="shared" si="30"/>
        <v>0</v>
      </c>
      <c r="S984" t="s">
        <v>497</v>
      </c>
      <c r="T984">
        <v>39</v>
      </c>
      <c r="U984" t="str">
        <f t="shared" si="31"/>
        <v>Jonna Andersson:5</v>
      </c>
    </row>
    <row r="985" spans="1:21" x14ac:dyDescent="0.2">
      <c r="A985" t="s">
        <v>231</v>
      </c>
      <c r="B985" t="s">
        <v>606</v>
      </c>
      <c r="C985" t="s">
        <v>607</v>
      </c>
      <c r="D985" t="s">
        <v>23</v>
      </c>
      <c r="E985" t="s">
        <v>27</v>
      </c>
      <c r="F985">
        <v>26</v>
      </c>
      <c r="G985">
        <v>1992</v>
      </c>
      <c r="H985">
        <v>14</v>
      </c>
      <c r="I985">
        <v>12</v>
      </c>
      <c r="J985">
        <v>1037</v>
      </c>
      <c r="K985">
        <v>5</v>
      </c>
      <c r="L985">
        <v>2</v>
      </c>
      <c r="M985">
        <v>5</v>
      </c>
      <c r="N985">
        <v>0</v>
      </c>
      <c r="O985">
        <v>0</v>
      </c>
      <c r="P985">
        <v>0</v>
      </c>
      <c r="Q985">
        <v>0</v>
      </c>
      <c r="R985">
        <f t="shared" si="30"/>
        <v>5.3573341905068036E-5</v>
      </c>
      <c r="S985" t="s">
        <v>497</v>
      </c>
      <c r="T985">
        <v>36</v>
      </c>
      <c r="U985" t="str">
        <f t="shared" si="31"/>
        <v>Jordan Nobbs:2</v>
      </c>
    </row>
    <row r="986" spans="1:21" x14ac:dyDescent="0.2">
      <c r="A986" t="s">
        <v>141</v>
      </c>
      <c r="B986" t="s">
        <v>624</v>
      </c>
      <c r="C986" t="s">
        <v>625</v>
      </c>
      <c r="D986" t="s">
        <v>34</v>
      </c>
      <c r="E986" t="s">
        <v>30</v>
      </c>
      <c r="F986">
        <v>26</v>
      </c>
      <c r="G986">
        <v>1993</v>
      </c>
      <c r="H986">
        <v>14</v>
      </c>
      <c r="I986">
        <v>12</v>
      </c>
      <c r="J986">
        <v>1112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4</v>
      </c>
      <c r="Q986">
        <v>0</v>
      </c>
      <c r="R986">
        <f t="shared" si="30"/>
        <v>0</v>
      </c>
      <c r="S986" t="s">
        <v>497</v>
      </c>
      <c r="T986">
        <v>20</v>
      </c>
      <c r="U986" t="str">
        <f t="shared" si="31"/>
        <v>Josephine Green:0</v>
      </c>
    </row>
    <row r="987" spans="1:21" x14ac:dyDescent="0.2">
      <c r="A987" t="s">
        <v>536</v>
      </c>
      <c r="B987" t="s">
        <v>630</v>
      </c>
      <c r="C987" t="s">
        <v>631</v>
      </c>
      <c r="D987" t="s">
        <v>23</v>
      </c>
      <c r="E987" t="s">
        <v>24</v>
      </c>
      <c r="F987">
        <v>30</v>
      </c>
      <c r="G987">
        <v>1989</v>
      </c>
      <c r="H987">
        <v>5</v>
      </c>
      <c r="I987">
        <v>2</v>
      </c>
      <c r="J987">
        <v>207</v>
      </c>
      <c r="K987">
        <v>0</v>
      </c>
      <c r="L987">
        <v>2</v>
      </c>
      <c r="M987">
        <v>0</v>
      </c>
      <c r="N987">
        <v>0</v>
      </c>
      <c r="O987">
        <v>0</v>
      </c>
      <c r="P987">
        <v>0</v>
      </c>
      <c r="Q987">
        <v>0</v>
      </c>
      <c r="R987">
        <f t="shared" si="30"/>
        <v>0</v>
      </c>
      <c r="S987" t="s">
        <v>497</v>
      </c>
      <c r="T987">
        <v>16</v>
      </c>
      <c r="U987" t="str">
        <f t="shared" si="31"/>
        <v>Julia Simic:2</v>
      </c>
    </row>
    <row r="988" spans="1:21" x14ac:dyDescent="0.2">
      <c r="A988" t="s">
        <v>349</v>
      </c>
      <c r="B988" t="s">
        <v>610</v>
      </c>
      <c r="C988" t="s">
        <v>611</v>
      </c>
      <c r="D988" t="s">
        <v>40</v>
      </c>
      <c r="E988" t="s">
        <v>32</v>
      </c>
      <c r="F988">
        <v>30</v>
      </c>
      <c r="G988">
        <v>1989</v>
      </c>
      <c r="H988">
        <v>1</v>
      </c>
      <c r="I988">
        <v>0</v>
      </c>
      <c r="J988">
        <v>1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f t="shared" si="30"/>
        <v>0</v>
      </c>
      <c r="S988" t="s">
        <v>497</v>
      </c>
      <c r="T988">
        <v>40</v>
      </c>
      <c r="U988" t="str">
        <f t="shared" si="31"/>
        <v>Karima Benameur:0</v>
      </c>
    </row>
    <row r="989" spans="1:21" x14ac:dyDescent="0.2">
      <c r="A989" t="s">
        <v>201</v>
      </c>
      <c r="B989" t="s">
        <v>606</v>
      </c>
      <c r="C989" t="s">
        <v>607</v>
      </c>
      <c r="D989" t="s">
        <v>34</v>
      </c>
      <c r="E989" t="s">
        <v>24</v>
      </c>
      <c r="F989">
        <v>30</v>
      </c>
      <c r="G989">
        <v>1989</v>
      </c>
      <c r="H989">
        <v>13</v>
      </c>
      <c r="I989">
        <v>11</v>
      </c>
      <c r="J989">
        <v>962</v>
      </c>
      <c r="K989">
        <v>0</v>
      </c>
      <c r="L989">
        <v>2</v>
      </c>
      <c r="M989">
        <v>0</v>
      </c>
      <c r="N989">
        <v>0</v>
      </c>
      <c r="O989">
        <v>0</v>
      </c>
      <c r="P989">
        <v>5</v>
      </c>
      <c r="Q989">
        <v>0</v>
      </c>
      <c r="R989">
        <f t="shared" si="30"/>
        <v>0</v>
      </c>
      <c r="S989" t="s">
        <v>497</v>
      </c>
      <c r="T989">
        <v>16</v>
      </c>
      <c r="U989" t="str">
        <f t="shared" si="31"/>
        <v>Kate Longhurst:2</v>
      </c>
    </row>
    <row r="990" spans="1:21" x14ac:dyDescent="0.2">
      <c r="A990" t="s">
        <v>528</v>
      </c>
      <c r="B990" t="s">
        <v>606</v>
      </c>
      <c r="C990" t="s">
        <v>607</v>
      </c>
      <c r="D990" t="s">
        <v>23</v>
      </c>
      <c r="E990" t="s">
        <v>48</v>
      </c>
      <c r="F990">
        <v>26</v>
      </c>
      <c r="G990">
        <v>1992</v>
      </c>
      <c r="H990">
        <v>7</v>
      </c>
      <c r="I990">
        <v>4</v>
      </c>
      <c r="J990">
        <v>387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f t="shared" si="30"/>
        <v>0</v>
      </c>
      <c r="S990" t="s">
        <v>497</v>
      </c>
      <c r="T990">
        <v>13</v>
      </c>
      <c r="U990" t="str">
        <f t="shared" si="31"/>
        <v>Kate Natkiel:0</v>
      </c>
    </row>
    <row r="991" spans="1:21" x14ac:dyDescent="0.2">
      <c r="A991" t="s">
        <v>501</v>
      </c>
      <c r="B991" t="s">
        <v>630</v>
      </c>
      <c r="C991" t="s">
        <v>631</v>
      </c>
      <c r="D991" t="s">
        <v>50</v>
      </c>
      <c r="E991" t="s">
        <v>24</v>
      </c>
      <c r="F991">
        <v>30</v>
      </c>
      <c r="G991">
        <v>1989</v>
      </c>
      <c r="H991">
        <v>12</v>
      </c>
      <c r="I991">
        <v>12</v>
      </c>
      <c r="J991">
        <v>1041</v>
      </c>
      <c r="K991">
        <v>3</v>
      </c>
      <c r="L991">
        <v>0</v>
      </c>
      <c r="M991">
        <v>3</v>
      </c>
      <c r="N991">
        <v>0</v>
      </c>
      <c r="O991">
        <v>0</v>
      </c>
      <c r="P991">
        <v>0</v>
      </c>
      <c r="Q991">
        <v>0</v>
      </c>
      <c r="R991">
        <f t="shared" si="30"/>
        <v>3.202049311559398E-5</v>
      </c>
      <c r="S991" t="s">
        <v>497</v>
      </c>
      <c r="T991">
        <v>16</v>
      </c>
      <c r="U991" t="str">
        <f t="shared" si="31"/>
        <v>Katharina Baunach:0</v>
      </c>
    </row>
    <row r="992" spans="1:21" x14ac:dyDescent="0.2">
      <c r="A992" t="s">
        <v>213</v>
      </c>
      <c r="B992" t="s">
        <v>632</v>
      </c>
      <c r="C992" t="s">
        <v>633</v>
      </c>
      <c r="D992" t="s">
        <v>50</v>
      </c>
      <c r="E992" t="s">
        <v>27</v>
      </c>
      <c r="F992">
        <v>23</v>
      </c>
      <c r="G992">
        <v>1995</v>
      </c>
      <c r="H992">
        <v>13</v>
      </c>
      <c r="I992">
        <v>12</v>
      </c>
      <c r="J992">
        <v>1047</v>
      </c>
      <c r="K992">
        <v>0</v>
      </c>
      <c r="L992">
        <v>1</v>
      </c>
      <c r="M992">
        <v>0</v>
      </c>
      <c r="N992">
        <v>0</v>
      </c>
      <c r="O992">
        <v>0</v>
      </c>
      <c r="P992">
        <v>4</v>
      </c>
      <c r="Q992">
        <v>0</v>
      </c>
      <c r="R992">
        <f t="shared" si="30"/>
        <v>0</v>
      </c>
      <c r="S992" t="s">
        <v>497</v>
      </c>
      <c r="T992">
        <v>36</v>
      </c>
      <c r="U992" t="str">
        <f t="shared" si="31"/>
        <v>Katie McCabe:1</v>
      </c>
    </row>
    <row r="993" spans="1:21" x14ac:dyDescent="0.2">
      <c r="A993" t="s">
        <v>262</v>
      </c>
      <c r="B993" t="s">
        <v>606</v>
      </c>
      <c r="C993" t="s">
        <v>607</v>
      </c>
      <c r="D993" t="s">
        <v>42</v>
      </c>
      <c r="E993" t="s">
        <v>426</v>
      </c>
      <c r="F993">
        <v>16</v>
      </c>
      <c r="G993">
        <v>2002</v>
      </c>
      <c r="H993">
        <v>10</v>
      </c>
      <c r="I993">
        <v>3</v>
      </c>
      <c r="J993">
        <v>266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f t="shared" si="30"/>
        <v>0</v>
      </c>
      <c r="S993" t="s">
        <v>497</v>
      </c>
      <c r="T993">
        <v>9</v>
      </c>
      <c r="U993" t="str">
        <f t="shared" si="31"/>
        <v>Katie Robinson:0</v>
      </c>
    </row>
    <row r="994" spans="1:21" x14ac:dyDescent="0.2">
      <c r="A994" t="s">
        <v>335</v>
      </c>
      <c r="B994" t="s">
        <v>606</v>
      </c>
      <c r="C994" t="s">
        <v>607</v>
      </c>
      <c r="D994" t="s">
        <v>34</v>
      </c>
      <c r="E994" t="s">
        <v>52</v>
      </c>
      <c r="F994">
        <v>23</v>
      </c>
      <c r="G994">
        <v>1996</v>
      </c>
      <c r="H994">
        <v>14</v>
      </c>
      <c r="I994">
        <v>13</v>
      </c>
      <c r="J994">
        <v>1147</v>
      </c>
      <c r="K994">
        <v>5</v>
      </c>
      <c r="L994">
        <v>2</v>
      </c>
      <c r="M994">
        <v>1</v>
      </c>
      <c r="N994">
        <v>4</v>
      </c>
      <c r="O994">
        <v>4</v>
      </c>
      <c r="P994">
        <v>4</v>
      </c>
      <c r="Q994">
        <v>0</v>
      </c>
      <c r="R994">
        <f t="shared" si="30"/>
        <v>4.8435532306500046E-5</v>
      </c>
      <c r="S994" t="s">
        <v>497</v>
      </c>
      <c r="T994">
        <v>23</v>
      </c>
      <c r="U994" t="str">
        <f t="shared" si="31"/>
        <v>Katie Zelem:2</v>
      </c>
    </row>
    <row r="995" spans="1:21" x14ac:dyDescent="0.2">
      <c r="A995" t="s">
        <v>142</v>
      </c>
      <c r="B995" t="s">
        <v>624</v>
      </c>
      <c r="C995" t="s">
        <v>625</v>
      </c>
      <c r="D995" t="s">
        <v>42</v>
      </c>
      <c r="E995" t="s">
        <v>48</v>
      </c>
      <c r="F995">
        <v>31</v>
      </c>
      <c r="G995">
        <v>1988</v>
      </c>
      <c r="H995">
        <v>16</v>
      </c>
      <c r="I995">
        <v>14</v>
      </c>
      <c r="J995">
        <v>1262</v>
      </c>
      <c r="K995">
        <v>2</v>
      </c>
      <c r="L995">
        <v>2</v>
      </c>
      <c r="M995">
        <v>1</v>
      </c>
      <c r="N995">
        <v>1</v>
      </c>
      <c r="O995">
        <v>1</v>
      </c>
      <c r="P995">
        <v>3</v>
      </c>
      <c r="Q995">
        <v>0</v>
      </c>
      <c r="R995">
        <f t="shared" si="30"/>
        <v>1.7608733932030288E-5</v>
      </c>
      <c r="S995" t="s">
        <v>497</v>
      </c>
      <c r="T995">
        <v>13</v>
      </c>
      <c r="U995" t="str">
        <f t="shared" si="31"/>
        <v>Kayleigh Green:2</v>
      </c>
    </row>
    <row r="996" spans="1:21" x14ac:dyDescent="0.2">
      <c r="A996" t="s">
        <v>416</v>
      </c>
      <c r="B996" t="s">
        <v>606</v>
      </c>
      <c r="C996" t="s">
        <v>607</v>
      </c>
      <c r="D996" t="s">
        <v>34</v>
      </c>
      <c r="E996" t="s">
        <v>32</v>
      </c>
      <c r="F996">
        <v>22</v>
      </c>
      <c r="G996">
        <v>1997</v>
      </c>
      <c r="H996">
        <v>14</v>
      </c>
      <c r="I996">
        <v>14</v>
      </c>
      <c r="J996">
        <v>1260</v>
      </c>
      <c r="K996">
        <v>2</v>
      </c>
      <c r="L996">
        <v>4</v>
      </c>
      <c r="M996">
        <v>2</v>
      </c>
      <c r="N996">
        <v>0</v>
      </c>
      <c r="O996">
        <v>0</v>
      </c>
      <c r="P996">
        <v>0</v>
      </c>
      <c r="Q996">
        <v>0</v>
      </c>
      <c r="R996">
        <f t="shared" si="30"/>
        <v>1.7636684303350968E-5</v>
      </c>
      <c r="S996" t="s">
        <v>497</v>
      </c>
      <c r="T996">
        <v>40</v>
      </c>
      <c r="U996" t="str">
        <f t="shared" si="31"/>
        <v>Keira Walsh:4</v>
      </c>
    </row>
    <row r="997" spans="1:21" x14ac:dyDescent="0.2">
      <c r="A997" t="s">
        <v>103</v>
      </c>
      <c r="B997" t="s">
        <v>610</v>
      </c>
      <c r="C997" t="s">
        <v>611</v>
      </c>
      <c r="D997" t="s">
        <v>23</v>
      </c>
      <c r="E997" t="s">
        <v>24</v>
      </c>
      <c r="F997">
        <v>28</v>
      </c>
      <c r="G997">
        <v>1991</v>
      </c>
      <c r="H997">
        <v>14</v>
      </c>
      <c r="I997">
        <v>12</v>
      </c>
      <c r="J997">
        <v>1169</v>
      </c>
      <c r="K997">
        <v>2</v>
      </c>
      <c r="L997">
        <v>3</v>
      </c>
      <c r="M997">
        <v>1</v>
      </c>
      <c r="N997">
        <v>1</v>
      </c>
      <c r="O997">
        <v>1</v>
      </c>
      <c r="P997">
        <v>2</v>
      </c>
      <c r="Q997">
        <v>0</v>
      </c>
      <c r="R997">
        <f t="shared" si="30"/>
        <v>1.9009599847923202E-5</v>
      </c>
      <c r="S997" t="s">
        <v>497</v>
      </c>
      <c r="T997">
        <v>16</v>
      </c>
      <c r="U997" t="str">
        <f t="shared" si="31"/>
        <v>Kenza Dali:3</v>
      </c>
    </row>
    <row r="998" spans="1:21" x14ac:dyDescent="0.2">
      <c r="A998" t="s">
        <v>151</v>
      </c>
      <c r="B998" t="s">
        <v>606</v>
      </c>
      <c r="C998" t="s">
        <v>607</v>
      </c>
      <c r="D998" t="s">
        <v>50</v>
      </c>
      <c r="E998" t="s">
        <v>360</v>
      </c>
      <c r="F998">
        <v>28</v>
      </c>
      <c r="G998">
        <v>1990</v>
      </c>
      <c r="H998">
        <v>7</v>
      </c>
      <c r="I998">
        <v>6</v>
      </c>
      <c r="J998">
        <v>556</v>
      </c>
      <c r="K998">
        <v>1</v>
      </c>
      <c r="L998">
        <v>0</v>
      </c>
      <c r="M998">
        <v>1</v>
      </c>
      <c r="N998">
        <v>0</v>
      </c>
      <c r="O998">
        <v>0</v>
      </c>
      <c r="P998">
        <v>2</v>
      </c>
      <c r="Q998">
        <v>0</v>
      </c>
      <c r="R998">
        <f t="shared" si="30"/>
        <v>1.9984012789768187E-5</v>
      </c>
      <c r="S998" t="s">
        <v>497</v>
      </c>
      <c r="T998">
        <v>7</v>
      </c>
      <c r="U998" t="str">
        <f t="shared" si="31"/>
        <v>Kerys Harrop:0</v>
      </c>
    </row>
    <row r="999" spans="1:21" x14ac:dyDescent="0.2">
      <c r="A999" t="s">
        <v>511</v>
      </c>
      <c r="B999" t="s">
        <v>626</v>
      </c>
      <c r="C999" t="s">
        <v>627</v>
      </c>
      <c r="D999" t="s">
        <v>50</v>
      </c>
      <c r="E999" t="s">
        <v>55</v>
      </c>
      <c r="F999">
        <v>27</v>
      </c>
      <c r="G999">
        <v>1991</v>
      </c>
      <c r="H999">
        <v>10</v>
      </c>
      <c r="I999">
        <v>8</v>
      </c>
      <c r="J999">
        <v>635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f t="shared" si="30"/>
        <v>0</v>
      </c>
      <c r="S999" t="s">
        <v>497</v>
      </c>
      <c r="T999">
        <v>19</v>
      </c>
      <c r="U999" t="str">
        <f t="shared" si="31"/>
        <v>Kika van Es:0</v>
      </c>
    </row>
    <row r="1000" spans="1:21" x14ac:dyDescent="0.2">
      <c r="A1000" t="s">
        <v>199</v>
      </c>
      <c r="B1000" t="s">
        <v>652</v>
      </c>
      <c r="C1000" t="s">
        <v>653</v>
      </c>
      <c r="D1000" t="s">
        <v>34</v>
      </c>
      <c r="E1000" t="s">
        <v>27</v>
      </c>
      <c r="F1000">
        <v>29</v>
      </c>
      <c r="G1000">
        <v>1990</v>
      </c>
      <c r="H1000">
        <v>12</v>
      </c>
      <c r="I1000">
        <v>12</v>
      </c>
      <c r="J1000">
        <v>1055</v>
      </c>
      <c r="K1000">
        <v>5</v>
      </c>
      <c r="L1000">
        <v>2</v>
      </c>
      <c r="M1000">
        <v>4</v>
      </c>
      <c r="N1000">
        <v>1</v>
      </c>
      <c r="O1000">
        <v>1</v>
      </c>
      <c r="P1000">
        <v>0</v>
      </c>
      <c r="Q1000">
        <v>0</v>
      </c>
      <c r="R1000">
        <f t="shared" si="30"/>
        <v>5.2659294365455505E-5</v>
      </c>
      <c r="S1000" t="s">
        <v>497</v>
      </c>
      <c r="T1000">
        <v>36</v>
      </c>
      <c r="U1000" t="str">
        <f t="shared" si="31"/>
        <v>Kim Little:2</v>
      </c>
    </row>
    <row r="1001" spans="1:21" x14ac:dyDescent="0.2">
      <c r="A1001" t="s">
        <v>533</v>
      </c>
      <c r="B1001" t="s">
        <v>652</v>
      </c>
      <c r="C1001" t="s">
        <v>653</v>
      </c>
      <c r="D1001" t="s">
        <v>26</v>
      </c>
      <c r="E1001" t="s">
        <v>426</v>
      </c>
      <c r="F1001">
        <v>23</v>
      </c>
      <c r="G1001">
        <v>1995</v>
      </c>
      <c r="H1001">
        <v>1</v>
      </c>
      <c r="I1001">
        <v>0</v>
      </c>
      <c r="J1001">
        <v>1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f t="shared" si="30"/>
        <v>0</v>
      </c>
      <c r="S1001" t="s">
        <v>497</v>
      </c>
      <c r="T1001">
        <v>9</v>
      </c>
      <c r="U1001" t="str">
        <f t="shared" si="31"/>
        <v>Kirsten Reilly:0</v>
      </c>
    </row>
    <row r="1002" spans="1:21" x14ac:dyDescent="0.2">
      <c r="A1002" t="s">
        <v>430</v>
      </c>
      <c r="B1002" t="s">
        <v>606</v>
      </c>
      <c r="C1002" t="s">
        <v>607</v>
      </c>
      <c r="D1002" t="s">
        <v>50</v>
      </c>
      <c r="E1002" t="s">
        <v>48</v>
      </c>
      <c r="F1002">
        <v>27</v>
      </c>
      <c r="G1002">
        <v>1992</v>
      </c>
      <c r="H1002">
        <v>10</v>
      </c>
      <c r="I1002">
        <v>10</v>
      </c>
      <c r="J1002">
        <v>899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2</v>
      </c>
      <c r="Q1002">
        <v>0</v>
      </c>
      <c r="R1002">
        <f t="shared" si="30"/>
        <v>0</v>
      </c>
      <c r="S1002" t="s">
        <v>497</v>
      </c>
      <c r="T1002">
        <v>13</v>
      </c>
      <c r="U1002" t="str">
        <f t="shared" si="31"/>
        <v>Kirsty Barton:0</v>
      </c>
    </row>
    <row r="1003" spans="1:21" x14ac:dyDescent="0.2">
      <c r="A1003" t="s">
        <v>147</v>
      </c>
      <c r="B1003" t="s">
        <v>652</v>
      </c>
      <c r="C1003" t="s">
        <v>653</v>
      </c>
      <c r="D1003" t="s">
        <v>26</v>
      </c>
      <c r="E1003" t="s">
        <v>52</v>
      </c>
      <c r="F1003">
        <v>21</v>
      </c>
      <c r="G1003">
        <v>1998</v>
      </c>
      <c r="H1003">
        <v>11</v>
      </c>
      <c r="I1003">
        <v>6</v>
      </c>
      <c r="J1003">
        <v>498</v>
      </c>
      <c r="K1003">
        <v>3</v>
      </c>
      <c r="L1003">
        <v>1</v>
      </c>
      <c r="M1003">
        <v>3</v>
      </c>
      <c r="N1003">
        <v>0</v>
      </c>
      <c r="O1003">
        <v>0</v>
      </c>
      <c r="P1003">
        <v>0</v>
      </c>
      <c r="Q1003">
        <v>0</v>
      </c>
      <c r="R1003">
        <f t="shared" si="30"/>
        <v>6.6934404283801877E-5</v>
      </c>
      <c r="S1003" t="s">
        <v>497</v>
      </c>
      <c r="T1003">
        <v>23</v>
      </c>
      <c r="U1003" t="str">
        <f t="shared" si="31"/>
        <v>Kirsty Hanson:1</v>
      </c>
    </row>
    <row r="1004" spans="1:21" x14ac:dyDescent="0.2">
      <c r="A1004" t="s">
        <v>523</v>
      </c>
      <c r="B1004" t="s">
        <v>606</v>
      </c>
      <c r="C1004" t="s">
        <v>607</v>
      </c>
      <c r="D1004" t="s">
        <v>23</v>
      </c>
      <c r="E1004" t="s">
        <v>65</v>
      </c>
      <c r="F1004">
        <v>25</v>
      </c>
      <c r="G1004">
        <v>1993</v>
      </c>
      <c r="H1004">
        <v>11</v>
      </c>
      <c r="I1004">
        <v>8</v>
      </c>
      <c r="J1004">
        <v>622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2</v>
      </c>
      <c r="Q1004">
        <v>0</v>
      </c>
      <c r="R1004">
        <f t="shared" si="30"/>
        <v>0</v>
      </c>
      <c r="S1004" t="s">
        <v>497</v>
      </c>
      <c r="T1004">
        <v>6</v>
      </c>
      <c r="U1004" t="str">
        <f t="shared" si="31"/>
        <v>Kirsty Linnett:0</v>
      </c>
    </row>
    <row r="1005" spans="1:21" x14ac:dyDescent="0.2">
      <c r="A1005" t="s">
        <v>280</v>
      </c>
      <c r="B1005" t="s">
        <v>652</v>
      </c>
      <c r="C1005" t="s">
        <v>653</v>
      </c>
      <c r="D1005" t="s">
        <v>50</v>
      </c>
      <c r="E1005" t="s">
        <v>52</v>
      </c>
      <c r="F1005">
        <v>25</v>
      </c>
      <c r="G1005">
        <v>1994</v>
      </c>
      <c r="H1005">
        <v>8</v>
      </c>
      <c r="I1005">
        <v>7</v>
      </c>
      <c r="J1005">
        <v>632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2</v>
      </c>
      <c r="Q1005">
        <v>0</v>
      </c>
      <c r="R1005">
        <f t="shared" si="30"/>
        <v>0</v>
      </c>
      <c r="S1005" t="s">
        <v>497</v>
      </c>
      <c r="T1005">
        <v>23</v>
      </c>
      <c r="U1005" t="str">
        <f t="shared" si="31"/>
        <v>Kirsty Smith:0</v>
      </c>
    </row>
    <row r="1006" spans="1:21" x14ac:dyDescent="0.2">
      <c r="A1006" t="s">
        <v>139</v>
      </c>
      <c r="B1006" t="s">
        <v>606</v>
      </c>
      <c r="C1006" t="s">
        <v>607</v>
      </c>
      <c r="D1006" t="s">
        <v>42</v>
      </c>
      <c r="E1006" t="s">
        <v>30</v>
      </c>
      <c r="F1006">
        <v>23</v>
      </c>
      <c r="G1006">
        <v>1995</v>
      </c>
      <c r="H1006">
        <v>14</v>
      </c>
      <c r="I1006">
        <v>12</v>
      </c>
      <c r="J1006">
        <v>1077</v>
      </c>
      <c r="K1006">
        <v>3</v>
      </c>
      <c r="L1006">
        <v>1</v>
      </c>
      <c r="M1006">
        <v>3</v>
      </c>
      <c r="N1006">
        <v>0</v>
      </c>
      <c r="O1006">
        <v>0</v>
      </c>
      <c r="P1006">
        <v>1</v>
      </c>
      <c r="Q1006">
        <v>0</v>
      </c>
      <c r="R1006">
        <f t="shared" si="30"/>
        <v>3.0950170225936245E-5</v>
      </c>
      <c r="S1006" t="s">
        <v>497</v>
      </c>
      <c r="T1006">
        <v>20</v>
      </c>
      <c r="U1006" t="str">
        <f t="shared" si="31"/>
        <v>Kit Graham:1</v>
      </c>
    </row>
    <row r="1007" spans="1:21" x14ac:dyDescent="0.2">
      <c r="A1007" t="s">
        <v>460</v>
      </c>
      <c r="B1007" t="s">
        <v>618</v>
      </c>
      <c r="C1007" t="s">
        <v>619</v>
      </c>
      <c r="D1007" t="s">
        <v>50</v>
      </c>
      <c r="E1007" t="s">
        <v>35</v>
      </c>
      <c r="F1007">
        <v>23</v>
      </c>
      <c r="G1007">
        <v>1996</v>
      </c>
      <c r="H1007">
        <v>11</v>
      </c>
      <c r="I1007">
        <v>11</v>
      </c>
      <c r="J1007">
        <v>990</v>
      </c>
      <c r="K1007">
        <v>1</v>
      </c>
      <c r="L1007">
        <v>2</v>
      </c>
      <c r="M1007">
        <v>1</v>
      </c>
      <c r="N1007">
        <v>0</v>
      </c>
      <c r="O1007">
        <v>0</v>
      </c>
      <c r="P1007">
        <v>1</v>
      </c>
      <c r="Q1007">
        <v>0</v>
      </c>
      <c r="R1007">
        <f t="shared" si="30"/>
        <v>1.122334455667789E-5</v>
      </c>
      <c r="S1007" t="s">
        <v>497</v>
      </c>
      <c r="T1007">
        <v>21</v>
      </c>
      <c r="U1007" t="str">
        <f t="shared" si="31"/>
        <v>Kristine Leine:2</v>
      </c>
    </row>
    <row r="1008" spans="1:21" x14ac:dyDescent="0.2">
      <c r="A1008" t="s">
        <v>62</v>
      </c>
      <c r="B1008" t="s">
        <v>606</v>
      </c>
      <c r="C1008" t="s">
        <v>607</v>
      </c>
      <c r="D1008" t="s">
        <v>26</v>
      </c>
      <c r="E1008" t="s">
        <v>360</v>
      </c>
      <c r="F1008">
        <v>15</v>
      </c>
      <c r="G1008">
        <v>2003</v>
      </c>
      <c r="H1008">
        <v>1</v>
      </c>
      <c r="I1008">
        <v>0</v>
      </c>
      <c r="J1008">
        <v>4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f t="shared" si="30"/>
        <v>0</v>
      </c>
      <c r="S1008" t="s">
        <v>497</v>
      </c>
      <c r="T1008">
        <v>7</v>
      </c>
      <c r="U1008" t="str">
        <f t="shared" si="31"/>
        <v>Laura Blindkilde:0</v>
      </c>
    </row>
    <row r="1009" spans="1:21" x14ac:dyDescent="0.2">
      <c r="A1009" t="s">
        <v>96</v>
      </c>
      <c r="B1009" t="s">
        <v>606</v>
      </c>
      <c r="C1009" t="s">
        <v>607</v>
      </c>
      <c r="D1009" t="s">
        <v>23</v>
      </c>
      <c r="E1009" t="s">
        <v>32</v>
      </c>
      <c r="F1009">
        <v>28</v>
      </c>
      <c r="G1009">
        <v>1991</v>
      </c>
      <c r="H1009">
        <v>4</v>
      </c>
      <c r="I1009">
        <v>1</v>
      </c>
      <c r="J1009">
        <v>104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f t="shared" si="30"/>
        <v>0</v>
      </c>
      <c r="S1009" t="s">
        <v>497</v>
      </c>
      <c r="T1009">
        <v>40</v>
      </c>
      <c r="U1009" t="str">
        <f t="shared" si="31"/>
        <v>Laura Coombs:0</v>
      </c>
    </row>
    <row r="1010" spans="1:21" x14ac:dyDescent="0.2">
      <c r="A1010" t="s">
        <v>489</v>
      </c>
      <c r="B1010" t="s">
        <v>630</v>
      </c>
      <c r="C1010" t="s">
        <v>631</v>
      </c>
      <c r="D1010" t="s">
        <v>50</v>
      </c>
      <c r="E1010" t="s">
        <v>24</v>
      </c>
      <c r="F1010">
        <v>27</v>
      </c>
      <c r="G1010">
        <v>1992</v>
      </c>
      <c r="H1010">
        <v>13</v>
      </c>
      <c r="I1010">
        <v>13</v>
      </c>
      <c r="J1010">
        <v>1139</v>
      </c>
      <c r="K1010">
        <v>1</v>
      </c>
      <c r="L1010">
        <v>0</v>
      </c>
      <c r="M1010">
        <v>1</v>
      </c>
      <c r="N1010">
        <v>0</v>
      </c>
      <c r="O1010">
        <v>0</v>
      </c>
      <c r="P1010">
        <v>1</v>
      </c>
      <c r="Q1010">
        <v>0</v>
      </c>
      <c r="R1010">
        <f t="shared" si="30"/>
        <v>9.7551458394303003E-6</v>
      </c>
      <c r="S1010" t="s">
        <v>497</v>
      </c>
      <c r="T1010">
        <v>16</v>
      </c>
      <c r="U1010" t="str">
        <f t="shared" si="31"/>
        <v>Laura Vetterlein:0</v>
      </c>
    </row>
    <row r="1011" spans="1:21" x14ac:dyDescent="0.2">
      <c r="A1011" t="s">
        <v>154</v>
      </c>
      <c r="B1011" t="s">
        <v>606</v>
      </c>
      <c r="C1011" t="s">
        <v>607</v>
      </c>
      <c r="D1011" t="s">
        <v>23</v>
      </c>
      <c r="E1011" t="s">
        <v>32</v>
      </c>
      <c r="F1011">
        <v>18</v>
      </c>
      <c r="G1011">
        <v>2000</v>
      </c>
      <c r="H1011">
        <v>14</v>
      </c>
      <c r="I1011">
        <v>13</v>
      </c>
      <c r="J1011">
        <v>1134</v>
      </c>
      <c r="K1011">
        <v>5</v>
      </c>
      <c r="L1011">
        <v>5</v>
      </c>
      <c r="M1011">
        <v>5</v>
      </c>
      <c r="N1011">
        <v>0</v>
      </c>
      <c r="O1011">
        <v>0</v>
      </c>
      <c r="P1011">
        <v>2</v>
      </c>
      <c r="Q1011">
        <v>0</v>
      </c>
      <c r="R1011">
        <f t="shared" si="30"/>
        <v>4.8990789731530473E-5</v>
      </c>
      <c r="S1011" t="s">
        <v>497</v>
      </c>
      <c r="T1011">
        <v>40</v>
      </c>
      <c r="U1011" t="str">
        <f t="shared" si="31"/>
        <v>Lauren Hemp:5</v>
      </c>
    </row>
    <row r="1012" spans="1:21" x14ac:dyDescent="0.2">
      <c r="A1012" t="s">
        <v>170</v>
      </c>
      <c r="B1012" t="s">
        <v>606</v>
      </c>
      <c r="C1012" t="s">
        <v>607</v>
      </c>
      <c r="D1012" t="s">
        <v>26</v>
      </c>
      <c r="E1012" t="s">
        <v>52</v>
      </c>
      <c r="F1012">
        <v>17</v>
      </c>
      <c r="G1012">
        <v>2001</v>
      </c>
      <c r="H1012">
        <v>12</v>
      </c>
      <c r="I1012">
        <v>9</v>
      </c>
      <c r="J1012">
        <v>796</v>
      </c>
      <c r="K1012">
        <v>6</v>
      </c>
      <c r="L1012">
        <v>0</v>
      </c>
      <c r="M1012">
        <v>6</v>
      </c>
      <c r="N1012">
        <v>0</v>
      </c>
      <c r="O1012">
        <v>0</v>
      </c>
      <c r="P1012">
        <v>6</v>
      </c>
      <c r="Q1012">
        <v>1</v>
      </c>
      <c r="R1012">
        <f t="shared" si="30"/>
        <v>8.3752093802345049E-5</v>
      </c>
      <c r="S1012" t="s">
        <v>497</v>
      </c>
      <c r="T1012">
        <v>23</v>
      </c>
      <c r="U1012" t="str">
        <f t="shared" si="31"/>
        <v>Lauren James:0</v>
      </c>
    </row>
    <row r="1013" spans="1:21" x14ac:dyDescent="0.2">
      <c r="A1013" t="s">
        <v>522</v>
      </c>
      <c r="B1013" t="s">
        <v>610</v>
      </c>
      <c r="C1013" t="s">
        <v>611</v>
      </c>
      <c r="D1013" t="s">
        <v>42</v>
      </c>
      <c r="E1013" t="s">
        <v>48</v>
      </c>
      <c r="F1013">
        <v>26</v>
      </c>
      <c r="G1013">
        <v>1993</v>
      </c>
      <c r="H1013">
        <v>15</v>
      </c>
      <c r="I1013">
        <v>14</v>
      </c>
      <c r="J1013">
        <v>1176</v>
      </c>
      <c r="K1013">
        <v>1</v>
      </c>
      <c r="L1013">
        <v>2</v>
      </c>
      <c r="M1013">
        <v>1</v>
      </c>
      <c r="N1013">
        <v>0</v>
      </c>
      <c r="O1013">
        <v>0</v>
      </c>
      <c r="P1013">
        <v>3</v>
      </c>
      <c r="Q1013">
        <v>1</v>
      </c>
      <c r="R1013">
        <f t="shared" si="30"/>
        <v>9.4482237339380196E-6</v>
      </c>
      <c r="S1013" t="s">
        <v>497</v>
      </c>
      <c r="T1013">
        <v>13</v>
      </c>
      <c r="U1013" t="str">
        <f t="shared" si="31"/>
        <v>Léa Le Garrec:2</v>
      </c>
    </row>
    <row r="1014" spans="1:21" x14ac:dyDescent="0.2">
      <c r="A1014" t="s">
        <v>129</v>
      </c>
      <c r="B1014" t="s">
        <v>606</v>
      </c>
      <c r="C1014" t="s">
        <v>607</v>
      </c>
      <c r="D1014" t="s">
        <v>26</v>
      </c>
      <c r="E1014" t="s">
        <v>52</v>
      </c>
      <c r="F1014">
        <v>25</v>
      </c>
      <c r="G1014">
        <v>1994</v>
      </c>
      <c r="H1014">
        <v>12</v>
      </c>
      <c r="I1014">
        <v>12</v>
      </c>
      <c r="J1014">
        <v>1028</v>
      </c>
      <c r="K1014">
        <v>4</v>
      </c>
      <c r="L1014">
        <v>3</v>
      </c>
      <c r="M1014">
        <v>4</v>
      </c>
      <c r="N1014">
        <v>0</v>
      </c>
      <c r="O1014">
        <v>0</v>
      </c>
      <c r="P1014">
        <v>0</v>
      </c>
      <c r="Q1014">
        <v>0</v>
      </c>
      <c r="R1014">
        <f t="shared" si="30"/>
        <v>4.3233895373973197E-5</v>
      </c>
      <c r="S1014" t="s">
        <v>497</v>
      </c>
      <c r="T1014">
        <v>23</v>
      </c>
      <c r="U1014" t="str">
        <f t="shared" si="31"/>
        <v>Leah Galton:3</v>
      </c>
    </row>
    <row r="1015" spans="1:21" x14ac:dyDescent="0.2">
      <c r="A1015" t="s">
        <v>330</v>
      </c>
      <c r="B1015" t="s">
        <v>606</v>
      </c>
      <c r="C1015" t="s">
        <v>607</v>
      </c>
      <c r="D1015" t="s">
        <v>29</v>
      </c>
      <c r="E1015" t="s">
        <v>27</v>
      </c>
      <c r="F1015">
        <v>22</v>
      </c>
      <c r="G1015">
        <v>1997</v>
      </c>
      <c r="H1015">
        <v>15</v>
      </c>
      <c r="I1015">
        <v>15</v>
      </c>
      <c r="J1015">
        <v>1290</v>
      </c>
      <c r="K1015">
        <v>1</v>
      </c>
      <c r="L1015">
        <v>2</v>
      </c>
      <c r="M1015">
        <v>1</v>
      </c>
      <c r="N1015">
        <v>0</v>
      </c>
      <c r="O1015">
        <v>0</v>
      </c>
      <c r="P1015">
        <v>0</v>
      </c>
      <c r="Q1015">
        <v>0</v>
      </c>
      <c r="R1015">
        <f t="shared" si="30"/>
        <v>8.6132644272179153E-6</v>
      </c>
      <c r="S1015" t="s">
        <v>497</v>
      </c>
      <c r="T1015">
        <v>36</v>
      </c>
      <c r="U1015" t="str">
        <f t="shared" si="31"/>
        <v>Leah Williamson:2</v>
      </c>
    </row>
    <row r="1016" spans="1:21" x14ac:dyDescent="0.2">
      <c r="A1016" t="s">
        <v>180</v>
      </c>
      <c r="B1016" t="s">
        <v>632</v>
      </c>
      <c r="C1016" t="s">
        <v>633</v>
      </c>
      <c r="D1016" t="s">
        <v>42</v>
      </c>
      <c r="E1016" t="s">
        <v>24</v>
      </c>
      <c r="F1016">
        <v>20</v>
      </c>
      <c r="G1016">
        <v>1999</v>
      </c>
      <c r="H1016">
        <v>9</v>
      </c>
      <c r="I1016">
        <v>7</v>
      </c>
      <c r="J1016">
        <v>522</v>
      </c>
      <c r="K1016">
        <v>1</v>
      </c>
      <c r="L1016">
        <v>0</v>
      </c>
      <c r="M1016">
        <v>1</v>
      </c>
      <c r="N1016">
        <v>0</v>
      </c>
      <c r="O1016">
        <v>0</v>
      </c>
      <c r="P1016">
        <v>3</v>
      </c>
      <c r="Q1016">
        <v>1</v>
      </c>
      <c r="R1016">
        <f t="shared" si="30"/>
        <v>2.1285653469561513E-5</v>
      </c>
      <c r="S1016" t="s">
        <v>497</v>
      </c>
      <c r="T1016">
        <v>16</v>
      </c>
      <c r="U1016" t="str">
        <f t="shared" si="31"/>
        <v>Leanne Kiernan:0</v>
      </c>
    </row>
    <row r="1017" spans="1:21" x14ac:dyDescent="0.2">
      <c r="A1017" t="s">
        <v>132</v>
      </c>
      <c r="B1017" t="s">
        <v>640</v>
      </c>
      <c r="C1017" t="s">
        <v>641</v>
      </c>
      <c r="D1017" t="s">
        <v>23</v>
      </c>
      <c r="E1017" t="s">
        <v>32</v>
      </c>
      <c r="F1017">
        <v>25</v>
      </c>
      <c r="G1017">
        <v>1994</v>
      </c>
      <c r="H1017">
        <v>3</v>
      </c>
      <c r="I1017">
        <v>0</v>
      </c>
      <c r="J1017">
        <v>44</v>
      </c>
      <c r="K1017">
        <v>1</v>
      </c>
      <c r="L1017">
        <v>0</v>
      </c>
      <c r="M1017">
        <v>1</v>
      </c>
      <c r="N1017">
        <v>0</v>
      </c>
      <c r="O1017">
        <v>0</v>
      </c>
      <c r="P1017">
        <v>0</v>
      </c>
      <c r="Q1017">
        <v>0</v>
      </c>
      <c r="R1017">
        <f t="shared" si="30"/>
        <v>2.5252525252525253E-4</v>
      </c>
      <c r="S1017" t="s">
        <v>497</v>
      </c>
      <c r="T1017">
        <v>40</v>
      </c>
      <c r="U1017" t="str">
        <f t="shared" si="31"/>
        <v>Lee Geum-min:0</v>
      </c>
    </row>
    <row r="1018" spans="1:21" x14ac:dyDescent="0.2">
      <c r="A1018" t="s">
        <v>260</v>
      </c>
      <c r="B1018" t="s">
        <v>606</v>
      </c>
      <c r="C1018" t="s">
        <v>607</v>
      </c>
      <c r="D1018" t="s">
        <v>50</v>
      </c>
      <c r="E1018" t="s">
        <v>65</v>
      </c>
      <c r="F1018">
        <v>25</v>
      </c>
      <c r="G1018">
        <v>1993</v>
      </c>
      <c r="H1018">
        <v>14</v>
      </c>
      <c r="I1018">
        <v>14</v>
      </c>
      <c r="J1018">
        <v>1260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4</v>
      </c>
      <c r="Q1018">
        <v>0</v>
      </c>
      <c r="R1018">
        <f t="shared" si="30"/>
        <v>0</v>
      </c>
      <c r="S1018" t="s">
        <v>497</v>
      </c>
      <c r="T1018">
        <v>6</v>
      </c>
      <c r="U1018" t="str">
        <f t="shared" si="31"/>
        <v>Leigh-Anne Robe:0</v>
      </c>
    </row>
    <row r="1019" spans="1:21" x14ac:dyDescent="0.2">
      <c r="A1019" t="s">
        <v>207</v>
      </c>
      <c r="B1019" t="s">
        <v>630</v>
      </c>
      <c r="C1019" t="s">
        <v>631</v>
      </c>
      <c r="D1019" t="s">
        <v>50</v>
      </c>
      <c r="E1019" t="s">
        <v>27</v>
      </c>
      <c r="F1019">
        <v>26</v>
      </c>
      <c r="G1019">
        <v>1992</v>
      </c>
      <c r="H1019">
        <v>13</v>
      </c>
      <c r="I1019">
        <v>6</v>
      </c>
      <c r="J1019">
        <v>686</v>
      </c>
      <c r="K1019">
        <v>0</v>
      </c>
      <c r="L1019">
        <v>2</v>
      </c>
      <c r="M1019">
        <v>0</v>
      </c>
      <c r="N1019">
        <v>0</v>
      </c>
      <c r="O1019">
        <v>0</v>
      </c>
      <c r="P1019">
        <v>1</v>
      </c>
      <c r="Q1019">
        <v>0</v>
      </c>
      <c r="R1019">
        <f t="shared" si="30"/>
        <v>0</v>
      </c>
      <c r="S1019" t="s">
        <v>497</v>
      </c>
      <c r="T1019">
        <v>36</v>
      </c>
      <c r="U1019" t="str">
        <f t="shared" si="31"/>
        <v>Leonie Maier:2</v>
      </c>
    </row>
    <row r="1020" spans="1:21" x14ac:dyDescent="0.2">
      <c r="A1020" t="s">
        <v>320</v>
      </c>
      <c r="B1020" t="s">
        <v>614</v>
      </c>
      <c r="C1020" t="s">
        <v>615</v>
      </c>
      <c r="D1020" t="s">
        <v>34</v>
      </c>
      <c r="E1020" t="s">
        <v>27</v>
      </c>
      <c r="F1020">
        <v>26</v>
      </c>
      <c r="G1020">
        <v>1993</v>
      </c>
      <c r="H1020">
        <v>10</v>
      </c>
      <c r="I1020">
        <v>9</v>
      </c>
      <c r="J1020">
        <v>794</v>
      </c>
      <c r="K1020">
        <v>0</v>
      </c>
      <c r="L1020">
        <v>1</v>
      </c>
      <c r="M1020">
        <v>0</v>
      </c>
      <c r="N1020">
        <v>0</v>
      </c>
      <c r="O1020">
        <v>0</v>
      </c>
      <c r="P1020">
        <v>1</v>
      </c>
      <c r="Q1020">
        <v>0</v>
      </c>
      <c r="R1020">
        <f t="shared" si="30"/>
        <v>0</v>
      </c>
      <c r="S1020" t="s">
        <v>497</v>
      </c>
      <c r="T1020">
        <v>36</v>
      </c>
      <c r="U1020" t="str">
        <f t="shared" si="31"/>
        <v>Lia Wälti:1</v>
      </c>
    </row>
    <row r="1021" spans="1:21" x14ac:dyDescent="0.2">
      <c r="A1021" t="s">
        <v>537</v>
      </c>
      <c r="B1021" t="s">
        <v>606</v>
      </c>
      <c r="C1021" t="s">
        <v>607</v>
      </c>
      <c r="D1021" t="s">
        <v>50</v>
      </c>
      <c r="E1021" t="s">
        <v>360</v>
      </c>
      <c r="F1021">
        <v>15</v>
      </c>
      <c r="G1021">
        <v>2003</v>
      </c>
      <c r="H1021">
        <v>6</v>
      </c>
      <c r="I1021">
        <v>4</v>
      </c>
      <c r="J1021">
        <v>415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f t="shared" si="30"/>
        <v>0</v>
      </c>
      <c r="S1021" t="s">
        <v>497</v>
      </c>
      <c r="T1021">
        <v>7</v>
      </c>
      <c r="U1021" t="str">
        <f t="shared" si="31"/>
        <v>Lily Simkin:0</v>
      </c>
    </row>
    <row r="1022" spans="1:21" x14ac:dyDescent="0.2">
      <c r="A1022" t="s">
        <v>114</v>
      </c>
      <c r="B1022" t="s">
        <v>652</v>
      </c>
      <c r="C1022" t="s">
        <v>653</v>
      </c>
      <c r="D1022" t="s">
        <v>248</v>
      </c>
      <c r="E1022" t="s">
        <v>27</v>
      </c>
      <c r="F1022">
        <v>27</v>
      </c>
      <c r="G1022">
        <v>1992</v>
      </c>
      <c r="H1022">
        <v>15</v>
      </c>
      <c r="I1022">
        <v>14</v>
      </c>
      <c r="J1022">
        <v>1266</v>
      </c>
      <c r="K1022">
        <v>2</v>
      </c>
      <c r="L1022">
        <v>4</v>
      </c>
      <c r="M1022">
        <v>2</v>
      </c>
      <c r="N1022">
        <v>0</v>
      </c>
      <c r="O1022">
        <v>0</v>
      </c>
      <c r="P1022">
        <v>0</v>
      </c>
      <c r="Q1022">
        <v>0</v>
      </c>
      <c r="R1022">
        <f t="shared" si="30"/>
        <v>1.7553098121818501E-5</v>
      </c>
      <c r="S1022" t="s">
        <v>497</v>
      </c>
      <c r="T1022">
        <v>36</v>
      </c>
      <c r="U1022" t="str">
        <f t="shared" si="31"/>
        <v>Lisa Evans:4</v>
      </c>
    </row>
    <row r="1023" spans="1:21" x14ac:dyDescent="0.2">
      <c r="A1023" t="s">
        <v>520</v>
      </c>
      <c r="B1023" t="s">
        <v>618</v>
      </c>
      <c r="C1023" t="s">
        <v>619</v>
      </c>
      <c r="D1023" t="s">
        <v>42</v>
      </c>
      <c r="E1023" t="s">
        <v>35</v>
      </c>
      <c r="F1023">
        <v>26</v>
      </c>
      <c r="G1023">
        <v>1992</v>
      </c>
      <c r="H1023">
        <v>10</v>
      </c>
      <c r="I1023">
        <v>3</v>
      </c>
      <c r="J1023">
        <v>357</v>
      </c>
      <c r="K1023">
        <v>1</v>
      </c>
      <c r="L1023">
        <v>0</v>
      </c>
      <c r="M1023">
        <v>1</v>
      </c>
      <c r="N1023">
        <v>0</v>
      </c>
      <c r="O1023">
        <v>0</v>
      </c>
      <c r="P1023">
        <v>2</v>
      </c>
      <c r="Q1023">
        <v>0</v>
      </c>
      <c r="R1023">
        <f t="shared" si="30"/>
        <v>3.1123560535325241E-5</v>
      </c>
      <c r="S1023" t="s">
        <v>497</v>
      </c>
      <c r="T1023">
        <v>21</v>
      </c>
      <c r="U1023" t="str">
        <f t="shared" si="31"/>
        <v>Lisa-Marie Karlseng Utland:0</v>
      </c>
    </row>
    <row r="1024" spans="1:21" x14ac:dyDescent="0.2">
      <c r="A1024" t="s">
        <v>498</v>
      </c>
      <c r="B1024" t="s">
        <v>652</v>
      </c>
      <c r="C1024" t="s">
        <v>653</v>
      </c>
      <c r="D1024" t="s">
        <v>42</v>
      </c>
      <c r="E1024" t="s">
        <v>52</v>
      </c>
      <c r="F1024">
        <v>23</v>
      </c>
      <c r="G1024">
        <v>1996</v>
      </c>
      <c r="H1024">
        <v>4</v>
      </c>
      <c r="I1024">
        <v>0</v>
      </c>
      <c r="J1024">
        <v>88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f t="shared" si="30"/>
        <v>0</v>
      </c>
      <c r="S1024" t="s">
        <v>497</v>
      </c>
      <c r="T1024">
        <v>23</v>
      </c>
      <c r="U1024" t="str">
        <f t="shared" si="31"/>
        <v>Lizzie Arnot:0</v>
      </c>
    </row>
    <row r="1025" spans="1:21" x14ac:dyDescent="0.2">
      <c r="A1025" t="s">
        <v>509</v>
      </c>
      <c r="B1025" t="s">
        <v>624</v>
      </c>
      <c r="C1025" t="s">
        <v>625</v>
      </c>
      <c r="D1025" t="s">
        <v>50</v>
      </c>
      <c r="E1025" t="s">
        <v>426</v>
      </c>
      <c r="F1025">
        <v>31</v>
      </c>
      <c r="G1025">
        <v>1988</v>
      </c>
      <c r="H1025">
        <v>11</v>
      </c>
      <c r="I1025">
        <v>10</v>
      </c>
      <c r="J1025">
        <v>841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f t="shared" si="30"/>
        <v>0</v>
      </c>
      <c r="S1025" t="s">
        <v>497</v>
      </c>
      <c r="T1025">
        <v>9</v>
      </c>
      <c r="U1025" t="str">
        <f t="shared" si="31"/>
        <v>Loren Dykes:0</v>
      </c>
    </row>
    <row r="1026" spans="1:21" x14ac:dyDescent="0.2">
      <c r="A1026" t="s">
        <v>473</v>
      </c>
      <c r="B1026" t="s">
        <v>658</v>
      </c>
      <c r="C1026" t="s">
        <v>659</v>
      </c>
      <c r="D1026" t="s">
        <v>50</v>
      </c>
      <c r="E1026" t="s">
        <v>52</v>
      </c>
      <c r="F1026">
        <v>22</v>
      </c>
      <c r="G1026">
        <v>1997</v>
      </c>
      <c r="H1026">
        <v>3</v>
      </c>
      <c r="I1026">
        <v>3</v>
      </c>
      <c r="J1026">
        <v>190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f t="shared" si="30"/>
        <v>0</v>
      </c>
      <c r="S1026" t="s">
        <v>497</v>
      </c>
      <c r="T1026">
        <v>23</v>
      </c>
      <c r="U1026" t="str">
        <f t="shared" si="31"/>
        <v>Lotta Ökvist:0</v>
      </c>
    </row>
    <row r="1027" spans="1:21" x14ac:dyDescent="0.2">
      <c r="A1027" t="s">
        <v>398</v>
      </c>
      <c r="B1027" t="s">
        <v>632</v>
      </c>
      <c r="C1027" t="s">
        <v>633</v>
      </c>
      <c r="D1027" t="s">
        <v>50</v>
      </c>
      <c r="E1027" t="s">
        <v>27</v>
      </c>
      <c r="F1027">
        <v>29</v>
      </c>
      <c r="G1027">
        <v>1990</v>
      </c>
      <c r="H1027">
        <v>6</v>
      </c>
      <c r="I1027">
        <v>3</v>
      </c>
      <c r="J1027">
        <v>264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f t="shared" ref="R1027:R1090" si="32">K1027/J1027/90</f>
        <v>0</v>
      </c>
      <c r="S1027" t="s">
        <v>497</v>
      </c>
      <c r="T1027">
        <v>36</v>
      </c>
      <c r="U1027" t="str">
        <f t="shared" ref="U1027:U1090" si="33">CONCATENATE(A1027, ":", L1027)</f>
        <v>Louise Quinn:0</v>
      </c>
    </row>
    <row r="1028" spans="1:21" x14ac:dyDescent="0.2">
      <c r="A1028" t="s">
        <v>462</v>
      </c>
      <c r="B1028" t="s">
        <v>680</v>
      </c>
      <c r="C1028" t="s">
        <v>681</v>
      </c>
      <c r="D1028" t="s">
        <v>19</v>
      </c>
      <c r="E1028" t="s">
        <v>30</v>
      </c>
      <c r="F1028">
        <v>21</v>
      </c>
      <c r="G1028">
        <v>1997</v>
      </c>
      <c r="H1028">
        <v>5</v>
      </c>
      <c r="I1028">
        <v>1</v>
      </c>
      <c r="J1028">
        <v>148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2</v>
      </c>
      <c r="Q1028">
        <v>0</v>
      </c>
      <c r="R1028">
        <f t="shared" si="32"/>
        <v>0</v>
      </c>
      <c r="S1028" t="s">
        <v>497</v>
      </c>
      <c r="T1028">
        <v>20</v>
      </c>
      <c r="U1028" t="str">
        <f t="shared" si="33"/>
        <v>Lucía Marte:0</v>
      </c>
    </row>
    <row r="1029" spans="1:21" x14ac:dyDescent="0.2">
      <c r="A1029" t="s">
        <v>140</v>
      </c>
      <c r="B1029" t="s">
        <v>652</v>
      </c>
      <c r="C1029" t="s">
        <v>653</v>
      </c>
      <c r="D1029" t="s">
        <v>34</v>
      </c>
      <c r="E1029" t="s">
        <v>55</v>
      </c>
      <c r="F1029">
        <v>22</v>
      </c>
      <c r="G1029">
        <v>1996</v>
      </c>
      <c r="H1029">
        <v>14</v>
      </c>
      <c r="I1029">
        <v>14</v>
      </c>
      <c r="J1029">
        <v>1233</v>
      </c>
      <c r="K1029">
        <v>4</v>
      </c>
      <c r="L1029">
        <v>2</v>
      </c>
      <c r="M1029">
        <v>3</v>
      </c>
      <c r="N1029">
        <v>1</v>
      </c>
      <c r="O1029">
        <v>1</v>
      </c>
      <c r="P1029">
        <v>2</v>
      </c>
      <c r="Q1029">
        <v>0</v>
      </c>
      <c r="R1029">
        <f t="shared" si="32"/>
        <v>3.604577813823556E-5</v>
      </c>
      <c r="S1029" t="s">
        <v>497</v>
      </c>
      <c r="T1029">
        <v>19</v>
      </c>
      <c r="U1029" t="str">
        <f t="shared" si="33"/>
        <v>Lucy Graham:2</v>
      </c>
    </row>
    <row r="1030" spans="1:21" x14ac:dyDescent="0.2">
      <c r="A1030" t="s">
        <v>399</v>
      </c>
      <c r="B1030" t="s">
        <v>632</v>
      </c>
      <c r="C1030" t="s">
        <v>633</v>
      </c>
      <c r="D1030" t="s">
        <v>23</v>
      </c>
      <c r="E1030" t="s">
        <v>30</v>
      </c>
      <c r="F1030">
        <v>25</v>
      </c>
      <c r="G1030">
        <v>1993</v>
      </c>
      <c r="H1030">
        <v>15</v>
      </c>
      <c r="I1030">
        <v>5</v>
      </c>
      <c r="J1030">
        <v>533</v>
      </c>
      <c r="K1030">
        <v>2</v>
      </c>
      <c r="L1030">
        <v>0</v>
      </c>
      <c r="M1030">
        <v>2</v>
      </c>
      <c r="N1030">
        <v>0</v>
      </c>
      <c r="O1030">
        <v>0</v>
      </c>
      <c r="P1030">
        <v>0</v>
      </c>
      <c r="Q1030">
        <v>0</v>
      </c>
      <c r="R1030">
        <f t="shared" si="32"/>
        <v>4.1692724619553888E-5</v>
      </c>
      <c r="S1030" t="s">
        <v>497</v>
      </c>
      <c r="T1030">
        <v>20</v>
      </c>
      <c r="U1030" t="str">
        <f t="shared" si="33"/>
        <v>Lucy Quinn:0</v>
      </c>
    </row>
    <row r="1031" spans="1:21" x14ac:dyDescent="0.2">
      <c r="A1031" t="s">
        <v>287</v>
      </c>
      <c r="B1031" t="s">
        <v>606</v>
      </c>
      <c r="C1031" t="s">
        <v>607</v>
      </c>
      <c r="D1031" t="s">
        <v>34</v>
      </c>
      <c r="E1031" t="s">
        <v>360</v>
      </c>
      <c r="F1031">
        <v>26</v>
      </c>
      <c r="G1031">
        <v>1992</v>
      </c>
      <c r="H1031">
        <v>10</v>
      </c>
      <c r="I1031">
        <v>10</v>
      </c>
      <c r="J1031">
        <v>900</v>
      </c>
      <c r="K1031">
        <v>1</v>
      </c>
      <c r="L1031">
        <v>3</v>
      </c>
      <c r="M1031">
        <v>1</v>
      </c>
      <c r="N1031">
        <v>0</v>
      </c>
      <c r="O1031">
        <v>0</v>
      </c>
      <c r="P1031">
        <v>1</v>
      </c>
      <c r="Q1031">
        <v>0</v>
      </c>
      <c r="R1031">
        <f t="shared" si="32"/>
        <v>1.2345679012345678E-5</v>
      </c>
      <c r="S1031" t="s">
        <v>497</v>
      </c>
      <c r="T1031">
        <v>7</v>
      </c>
      <c r="U1031" t="str">
        <f t="shared" si="33"/>
        <v>Lucy Staniforth:3</v>
      </c>
    </row>
    <row r="1032" spans="1:21" x14ac:dyDescent="0.2">
      <c r="A1032" t="s">
        <v>419</v>
      </c>
      <c r="B1032" t="s">
        <v>606</v>
      </c>
      <c r="C1032" t="s">
        <v>607</v>
      </c>
      <c r="D1032" t="s">
        <v>23</v>
      </c>
      <c r="E1032" t="s">
        <v>360</v>
      </c>
      <c r="F1032">
        <v>23</v>
      </c>
      <c r="G1032">
        <v>1995</v>
      </c>
      <c r="H1032">
        <v>13</v>
      </c>
      <c r="I1032">
        <v>11</v>
      </c>
      <c r="J1032">
        <v>947</v>
      </c>
      <c r="K1032">
        <v>1</v>
      </c>
      <c r="L1032">
        <v>0</v>
      </c>
      <c r="M1032">
        <v>1</v>
      </c>
      <c r="N1032">
        <v>0</v>
      </c>
      <c r="O1032">
        <v>0</v>
      </c>
      <c r="P1032">
        <v>0</v>
      </c>
      <c r="Q1032">
        <v>0</v>
      </c>
      <c r="R1032">
        <f t="shared" si="32"/>
        <v>1.1732957878681215E-5</v>
      </c>
      <c r="S1032" t="s">
        <v>497</v>
      </c>
      <c r="T1032">
        <v>7</v>
      </c>
      <c r="U1032" t="str">
        <f t="shared" si="33"/>
        <v>Lucy Whipp:0</v>
      </c>
    </row>
    <row r="1033" spans="1:21" x14ac:dyDescent="0.2">
      <c r="A1033" t="s">
        <v>357</v>
      </c>
      <c r="B1033" t="s">
        <v>610</v>
      </c>
      <c r="C1033" t="s">
        <v>611</v>
      </c>
      <c r="D1033" t="s">
        <v>34</v>
      </c>
      <c r="E1033" t="s">
        <v>55</v>
      </c>
      <c r="F1033">
        <v>26</v>
      </c>
      <c r="G1033">
        <v>1992</v>
      </c>
      <c r="H1033">
        <v>13</v>
      </c>
      <c r="I1033">
        <v>11</v>
      </c>
      <c r="J1033">
        <v>982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4</v>
      </c>
      <c r="Q1033">
        <v>0</v>
      </c>
      <c r="R1033">
        <f t="shared" si="32"/>
        <v>0</v>
      </c>
      <c r="S1033" t="s">
        <v>497</v>
      </c>
      <c r="T1033">
        <v>19</v>
      </c>
      <c r="U1033" t="str">
        <f t="shared" si="33"/>
        <v>Maéva Clemaron:0</v>
      </c>
    </row>
    <row r="1034" spans="1:21" x14ac:dyDescent="0.2">
      <c r="A1034" t="s">
        <v>112</v>
      </c>
      <c r="B1034" t="s">
        <v>658</v>
      </c>
      <c r="C1034" t="s">
        <v>659</v>
      </c>
      <c r="D1034" t="s">
        <v>50</v>
      </c>
      <c r="E1034" t="s">
        <v>20</v>
      </c>
      <c r="F1034">
        <v>25</v>
      </c>
      <c r="G1034">
        <v>1993</v>
      </c>
      <c r="H1034">
        <v>14</v>
      </c>
      <c r="I1034">
        <v>14</v>
      </c>
      <c r="J1034">
        <v>1260</v>
      </c>
      <c r="K1034">
        <v>1</v>
      </c>
      <c r="L1034">
        <v>0</v>
      </c>
      <c r="M1034">
        <v>1</v>
      </c>
      <c r="N1034">
        <v>0</v>
      </c>
      <c r="O1034">
        <v>0</v>
      </c>
      <c r="P1034">
        <v>1</v>
      </c>
      <c r="Q1034">
        <v>0</v>
      </c>
      <c r="R1034">
        <f t="shared" si="32"/>
        <v>8.8183421516754842E-6</v>
      </c>
      <c r="S1034" t="s">
        <v>497</v>
      </c>
      <c r="T1034">
        <v>39</v>
      </c>
      <c r="U1034" t="str">
        <f t="shared" si="33"/>
        <v>Magdalena Eriksson:0</v>
      </c>
    </row>
    <row r="1035" spans="1:21" x14ac:dyDescent="0.2">
      <c r="A1035" t="s">
        <v>507</v>
      </c>
      <c r="B1035" t="s">
        <v>606</v>
      </c>
      <c r="C1035" t="s">
        <v>607</v>
      </c>
      <c r="D1035" t="s">
        <v>50</v>
      </c>
      <c r="E1035" t="s">
        <v>426</v>
      </c>
      <c r="F1035">
        <v>19</v>
      </c>
      <c r="G1035">
        <v>2000</v>
      </c>
      <c r="H1035">
        <v>1</v>
      </c>
      <c r="I1035">
        <v>0</v>
      </c>
      <c r="J1035">
        <v>34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f t="shared" si="32"/>
        <v>0</v>
      </c>
      <c r="S1035" t="s">
        <v>497</v>
      </c>
      <c r="T1035">
        <v>9</v>
      </c>
      <c r="U1035" t="str">
        <f t="shared" si="33"/>
        <v>Maisy Collis:0</v>
      </c>
    </row>
    <row r="1036" spans="1:21" x14ac:dyDescent="0.2">
      <c r="A1036" t="s">
        <v>337</v>
      </c>
      <c r="B1036" t="s">
        <v>668</v>
      </c>
      <c r="C1036" t="s">
        <v>669</v>
      </c>
      <c r="D1036" t="s">
        <v>40</v>
      </c>
      <c r="E1036" t="s">
        <v>27</v>
      </c>
      <c r="F1036">
        <v>23</v>
      </c>
      <c r="G1036">
        <v>1995</v>
      </c>
      <c r="H1036">
        <v>12</v>
      </c>
      <c r="I1036">
        <v>12</v>
      </c>
      <c r="J1036">
        <v>1080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1</v>
      </c>
      <c r="Q1036">
        <v>0</v>
      </c>
      <c r="R1036">
        <f t="shared" si="32"/>
        <v>0</v>
      </c>
      <c r="S1036" t="s">
        <v>497</v>
      </c>
      <c r="T1036">
        <v>36</v>
      </c>
      <c r="U1036" t="str">
        <f t="shared" si="33"/>
        <v>Manuela Zinsberger:0</v>
      </c>
    </row>
    <row r="1037" spans="1:21" x14ac:dyDescent="0.2">
      <c r="A1037" t="s">
        <v>219</v>
      </c>
      <c r="B1037" t="s">
        <v>618</v>
      </c>
      <c r="C1037" t="s">
        <v>619</v>
      </c>
      <c r="D1037" t="s">
        <v>29</v>
      </c>
      <c r="E1037" t="s">
        <v>20</v>
      </c>
      <c r="F1037">
        <v>29</v>
      </c>
      <c r="G1037">
        <v>1989</v>
      </c>
      <c r="H1037">
        <v>14</v>
      </c>
      <c r="I1037">
        <v>14</v>
      </c>
      <c r="J1037">
        <v>1258</v>
      </c>
      <c r="K1037">
        <v>4</v>
      </c>
      <c r="L1037">
        <v>1</v>
      </c>
      <c r="M1037">
        <v>3</v>
      </c>
      <c r="N1037">
        <v>1</v>
      </c>
      <c r="O1037">
        <v>1</v>
      </c>
      <c r="P1037">
        <v>1</v>
      </c>
      <c r="Q1037">
        <v>0</v>
      </c>
      <c r="R1037">
        <f t="shared" si="32"/>
        <v>3.532944709415298E-5</v>
      </c>
      <c r="S1037" t="s">
        <v>497</v>
      </c>
      <c r="T1037">
        <v>39</v>
      </c>
      <c r="U1037" t="str">
        <f t="shared" si="33"/>
        <v>Maren Mjelde:1</v>
      </c>
    </row>
    <row r="1038" spans="1:21" x14ac:dyDescent="0.2">
      <c r="A1038" t="s">
        <v>303</v>
      </c>
      <c r="B1038" t="s">
        <v>618</v>
      </c>
      <c r="C1038" t="s">
        <v>619</v>
      </c>
      <c r="D1038" t="s">
        <v>34</v>
      </c>
      <c r="E1038" t="s">
        <v>20</v>
      </c>
      <c r="F1038">
        <v>26</v>
      </c>
      <c r="G1038">
        <v>1993</v>
      </c>
      <c r="H1038">
        <v>5</v>
      </c>
      <c r="I1038">
        <v>0</v>
      </c>
      <c r="J1038">
        <v>76</v>
      </c>
      <c r="K1038">
        <v>1</v>
      </c>
      <c r="L1038">
        <v>0</v>
      </c>
      <c r="M1038">
        <v>1</v>
      </c>
      <c r="N1038">
        <v>0</v>
      </c>
      <c r="O1038">
        <v>0</v>
      </c>
      <c r="P1038">
        <v>0</v>
      </c>
      <c r="Q1038">
        <v>0</v>
      </c>
      <c r="R1038">
        <f t="shared" si="32"/>
        <v>1.4619883040935673E-4</v>
      </c>
      <c r="S1038" t="s">
        <v>497</v>
      </c>
      <c r="T1038">
        <v>39</v>
      </c>
      <c r="U1038" t="str">
        <f t="shared" si="33"/>
        <v>Maria Thorisdottir:0</v>
      </c>
    </row>
    <row r="1039" spans="1:21" x14ac:dyDescent="0.2">
      <c r="A1039" t="s">
        <v>377</v>
      </c>
      <c r="B1039" t="s">
        <v>606</v>
      </c>
      <c r="C1039" t="s">
        <v>607</v>
      </c>
      <c r="D1039" t="s">
        <v>50</v>
      </c>
      <c r="E1039" t="s">
        <v>52</v>
      </c>
      <c r="F1039">
        <v>24</v>
      </c>
      <c r="G1039">
        <v>1994</v>
      </c>
      <c r="H1039">
        <v>11</v>
      </c>
      <c r="I1039">
        <v>9</v>
      </c>
      <c r="J1039">
        <v>835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f t="shared" si="32"/>
        <v>0</v>
      </c>
      <c r="S1039" t="s">
        <v>497</v>
      </c>
      <c r="T1039">
        <v>23</v>
      </c>
      <c r="U1039" t="str">
        <f t="shared" si="33"/>
        <v>Martha Harris:0</v>
      </c>
    </row>
    <row r="1040" spans="1:21" x14ac:dyDescent="0.2">
      <c r="A1040" t="s">
        <v>302</v>
      </c>
      <c r="B1040" t="s">
        <v>652</v>
      </c>
      <c r="C1040" t="s">
        <v>653</v>
      </c>
      <c r="D1040" t="s">
        <v>26</v>
      </c>
      <c r="E1040" t="s">
        <v>24</v>
      </c>
      <c r="F1040">
        <v>23</v>
      </c>
      <c r="G1040">
        <v>1996</v>
      </c>
      <c r="H1040">
        <v>10</v>
      </c>
      <c r="I1040">
        <v>10</v>
      </c>
      <c r="J1040">
        <v>886</v>
      </c>
      <c r="K1040">
        <v>4</v>
      </c>
      <c r="L1040">
        <v>1</v>
      </c>
      <c r="M1040">
        <v>4</v>
      </c>
      <c r="N1040">
        <v>0</v>
      </c>
      <c r="O1040">
        <v>0</v>
      </c>
      <c r="P1040">
        <v>1</v>
      </c>
      <c r="Q1040">
        <v>0</v>
      </c>
      <c r="R1040">
        <f t="shared" si="32"/>
        <v>5.0163029847002752E-5</v>
      </c>
      <c r="S1040" t="s">
        <v>497</v>
      </c>
      <c r="T1040">
        <v>16</v>
      </c>
      <c r="U1040" t="str">
        <f t="shared" si="33"/>
        <v>Martha Thomas:1</v>
      </c>
    </row>
    <row r="1041" spans="1:21" x14ac:dyDescent="0.2">
      <c r="A1041" t="s">
        <v>108</v>
      </c>
      <c r="B1041" t="s">
        <v>606</v>
      </c>
      <c r="C1041" t="s">
        <v>607</v>
      </c>
      <c r="D1041" t="s">
        <v>40</v>
      </c>
      <c r="E1041" t="s">
        <v>52</v>
      </c>
      <c r="F1041">
        <v>26</v>
      </c>
      <c r="G1041">
        <v>1993</v>
      </c>
      <c r="H1041">
        <v>14</v>
      </c>
      <c r="I1041">
        <v>14</v>
      </c>
      <c r="J1041">
        <v>1260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f t="shared" si="32"/>
        <v>0</v>
      </c>
      <c r="S1041" t="s">
        <v>497</v>
      </c>
      <c r="T1041">
        <v>23</v>
      </c>
      <c r="U1041" t="str">
        <f t="shared" si="33"/>
        <v>Mary Earps:0</v>
      </c>
    </row>
    <row r="1042" spans="1:21" x14ac:dyDescent="0.2">
      <c r="A1042" t="s">
        <v>513</v>
      </c>
      <c r="B1042" t="s">
        <v>678</v>
      </c>
      <c r="C1042" t="s">
        <v>679</v>
      </c>
      <c r="D1042" t="s">
        <v>50</v>
      </c>
      <c r="E1042" t="s">
        <v>32</v>
      </c>
      <c r="F1042">
        <v>25</v>
      </c>
      <c r="G1042">
        <v>1994</v>
      </c>
      <c r="H1042">
        <v>2</v>
      </c>
      <c r="I1042">
        <v>1</v>
      </c>
      <c r="J1042">
        <v>64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f t="shared" si="32"/>
        <v>0</v>
      </c>
      <c r="S1042" t="s">
        <v>497</v>
      </c>
      <c r="T1042">
        <v>40</v>
      </c>
      <c r="U1042" t="str">
        <f t="shared" si="33"/>
        <v>Matilde Fidalgo:0</v>
      </c>
    </row>
    <row r="1043" spans="1:21" x14ac:dyDescent="0.2">
      <c r="A1043" t="s">
        <v>524</v>
      </c>
      <c r="B1043" t="s">
        <v>620</v>
      </c>
      <c r="C1043" t="s">
        <v>621</v>
      </c>
      <c r="D1043" t="s">
        <v>29</v>
      </c>
      <c r="E1043" t="s">
        <v>48</v>
      </c>
      <c r="F1043">
        <v>20</v>
      </c>
      <c r="G1043">
        <v>1999</v>
      </c>
      <c r="H1043">
        <v>8</v>
      </c>
      <c r="I1043">
        <v>6</v>
      </c>
      <c r="J1043">
        <v>593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3</v>
      </c>
      <c r="Q1043">
        <v>0</v>
      </c>
      <c r="R1043">
        <f t="shared" si="32"/>
        <v>0</v>
      </c>
      <c r="S1043" t="s">
        <v>497</v>
      </c>
      <c r="T1043">
        <v>13</v>
      </c>
      <c r="U1043" t="str">
        <f t="shared" si="33"/>
        <v>Matilde Lundorf:0</v>
      </c>
    </row>
    <row r="1044" spans="1:21" x14ac:dyDescent="0.2">
      <c r="A1044" t="s">
        <v>192</v>
      </c>
      <c r="B1044" t="s">
        <v>606</v>
      </c>
      <c r="C1044" t="s">
        <v>607</v>
      </c>
      <c r="D1044" t="s">
        <v>29</v>
      </c>
      <c r="E1044" t="s">
        <v>48</v>
      </c>
      <c r="F1044">
        <v>17</v>
      </c>
      <c r="G1044">
        <v>2002</v>
      </c>
      <c r="H1044">
        <v>12</v>
      </c>
      <c r="I1044">
        <v>7</v>
      </c>
      <c r="J1044">
        <v>788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f t="shared" si="32"/>
        <v>0</v>
      </c>
      <c r="S1044" t="s">
        <v>497</v>
      </c>
      <c r="T1044">
        <v>13</v>
      </c>
      <c r="U1044" t="str">
        <f t="shared" si="33"/>
        <v>Maya Le Tissier:0</v>
      </c>
    </row>
    <row r="1045" spans="1:21" x14ac:dyDescent="0.2">
      <c r="A1045" t="s">
        <v>235</v>
      </c>
      <c r="B1045" t="s">
        <v>606</v>
      </c>
      <c r="C1045" t="s">
        <v>607</v>
      </c>
      <c r="D1045" t="s">
        <v>50</v>
      </c>
      <c r="E1045" t="s">
        <v>35</v>
      </c>
      <c r="F1045">
        <v>20</v>
      </c>
      <c r="G1045">
        <v>1998</v>
      </c>
      <c r="H1045">
        <v>9</v>
      </c>
      <c r="I1045">
        <v>7</v>
      </c>
      <c r="J1045">
        <v>680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1</v>
      </c>
      <c r="Q1045">
        <v>0</v>
      </c>
      <c r="R1045">
        <f t="shared" si="32"/>
        <v>0</v>
      </c>
      <c r="S1045" t="s">
        <v>497</v>
      </c>
      <c r="T1045">
        <v>21</v>
      </c>
      <c r="U1045" t="str">
        <f t="shared" si="33"/>
        <v>Mayumi Pacheco:0</v>
      </c>
    </row>
    <row r="1046" spans="1:21" x14ac:dyDescent="0.2">
      <c r="A1046" t="s">
        <v>405</v>
      </c>
      <c r="B1046" t="s">
        <v>606</v>
      </c>
      <c r="C1046" t="s">
        <v>607</v>
      </c>
      <c r="D1046" t="s">
        <v>50</v>
      </c>
      <c r="E1046" t="s">
        <v>426</v>
      </c>
      <c r="F1046">
        <v>25</v>
      </c>
      <c r="G1046">
        <v>1994</v>
      </c>
      <c r="H1046">
        <v>12</v>
      </c>
      <c r="I1046">
        <v>12</v>
      </c>
      <c r="J1046">
        <v>1052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f t="shared" si="32"/>
        <v>0</v>
      </c>
      <c r="S1046" t="s">
        <v>497</v>
      </c>
      <c r="T1046">
        <v>9</v>
      </c>
      <c r="U1046" t="str">
        <f t="shared" si="33"/>
        <v>Meaghan Sargeant:0</v>
      </c>
    </row>
    <row r="1047" spans="1:21" x14ac:dyDescent="0.2">
      <c r="A1047" t="s">
        <v>80</v>
      </c>
      <c r="B1047" t="s">
        <v>632</v>
      </c>
      <c r="C1047" t="s">
        <v>633</v>
      </c>
      <c r="D1047" t="s">
        <v>50</v>
      </c>
      <c r="E1047" t="s">
        <v>32</v>
      </c>
      <c r="F1047">
        <v>26</v>
      </c>
      <c r="G1047">
        <v>1993</v>
      </c>
      <c r="H1047">
        <v>7</v>
      </c>
      <c r="I1047">
        <v>3</v>
      </c>
      <c r="J1047">
        <v>335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f t="shared" si="32"/>
        <v>0</v>
      </c>
      <c r="S1047" t="s">
        <v>497</v>
      </c>
      <c r="T1047">
        <v>40</v>
      </c>
      <c r="U1047" t="str">
        <f t="shared" si="33"/>
        <v>Megan Campbell:0</v>
      </c>
    </row>
    <row r="1048" spans="1:21" x14ac:dyDescent="0.2">
      <c r="A1048" t="s">
        <v>93</v>
      </c>
      <c r="B1048" t="s">
        <v>632</v>
      </c>
      <c r="C1048" t="s">
        <v>633</v>
      </c>
      <c r="D1048" t="s">
        <v>34</v>
      </c>
      <c r="E1048" t="s">
        <v>48</v>
      </c>
      <c r="F1048">
        <v>22</v>
      </c>
      <c r="G1048">
        <v>1997</v>
      </c>
      <c r="H1048">
        <v>9</v>
      </c>
      <c r="I1048">
        <v>6</v>
      </c>
      <c r="J1048">
        <v>601</v>
      </c>
      <c r="K1048">
        <v>1</v>
      </c>
      <c r="L1048">
        <v>1</v>
      </c>
      <c r="M1048">
        <v>1</v>
      </c>
      <c r="N1048">
        <v>0</v>
      </c>
      <c r="O1048">
        <v>0</v>
      </c>
      <c r="P1048">
        <v>0</v>
      </c>
      <c r="Q1048">
        <v>0</v>
      </c>
      <c r="R1048">
        <f t="shared" si="32"/>
        <v>1.8487705675725643E-5</v>
      </c>
      <c r="S1048" t="s">
        <v>497</v>
      </c>
      <c r="T1048">
        <v>13</v>
      </c>
      <c r="U1048" t="str">
        <f t="shared" si="33"/>
        <v>Megan Connolly:1</v>
      </c>
    </row>
    <row r="1049" spans="1:21" x14ac:dyDescent="0.2">
      <c r="A1049" t="s">
        <v>118</v>
      </c>
      <c r="B1049" t="s">
        <v>606</v>
      </c>
      <c r="C1049" t="s">
        <v>607</v>
      </c>
      <c r="D1049" t="s">
        <v>50</v>
      </c>
      <c r="E1049" t="s">
        <v>55</v>
      </c>
      <c r="F1049">
        <v>21</v>
      </c>
      <c r="G1049">
        <v>1998</v>
      </c>
      <c r="H1049">
        <v>10</v>
      </c>
      <c r="I1049">
        <v>10</v>
      </c>
      <c r="J1049">
        <v>900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f t="shared" si="32"/>
        <v>0</v>
      </c>
      <c r="S1049" t="s">
        <v>497</v>
      </c>
      <c r="T1049">
        <v>19</v>
      </c>
      <c r="U1049" t="str">
        <f t="shared" si="33"/>
        <v>Megan Finnigan:0</v>
      </c>
    </row>
    <row r="1050" spans="1:21" x14ac:dyDescent="0.2">
      <c r="A1050" t="s">
        <v>319</v>
      </c>
      <c r="B1050" t="s">
        <v>632</v>
      </c>
      <c r="C1050" t="s">
        <v>633</v>
      </c>
      <c r="D1050" t="s">
        <v>40</v>
      </c>
      <c r="E1050" t="s">
        <v>48</v>
      </c>
      <c r="F1050">
        <v>24</v>
      </c>
      <c r="G1050">
        <v>1994</v>
      </c>
      <c r="H1050">
        <v>15</v>
      </c>
      <c r="I1050">
        <v>15</v>
      </c>
      <c r="J1050">
        <v>1350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f t="shared" si="32"/>
        <v>0</v>
      </c>
      <c r="S1050" t="s">
        <v>497</v>
      </c>
      <c r="T1050">
        <v>13</v>
      </c>
      <c r="U1050" t="str">
        <f t="shared" si="33"/>
        <v>Megan Walsh:0</v>
      </c>
    </row>
    <row r="1051" spans="1:21" x14ac:dyDescent="0.2">
      <c r="A1051" t="s">
        <v>545</v>
      </c>
      <c r="B1051" t="s">
        <v>624</v>
      </c>
      <c r="C1051" t="s">
        <v>625</v>
      </c>
      <c r="D1051" t="s">
        <v>42</v>
      </c>
      <c r="E1051" t="s">
        <v>426</v>
      </c>
      <c r="F1051">
        <v>26</v>
      </c>
      <c r="G1051">
        <v>1993</v>
      </c>
      <c r="H1051">
        <v>3</v>
      </c>
      <c r="I1051">
        <v>0</v>
      </c>
      <c r="J1051">
        <v>123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f t="shared" si="32"/>
        <v>0</v>
      </c>
      <c r="S1051" t="s">
        <v>497</v>
      </c>
      <c r="T1051">
        <v>9</v>
      </c>
      <c r="U1051" t="str">
        <f t="shared" si="33"/>
        <v>Megan Wynne:0</v>
      </c>
    </row>
    <row r="1052" spans="1:21" x14ac:dyDescent="0.2">
      <c r="A1052" t="s">
        <v>545</v>
      </c>
      <c r="B1052" t="s">
        <v>624</v>
      </c>
      <c r="C1052" t="s">
        <v>625</v>
      </c>
      <c r="D1052" t="s">
        <v>19</v>
      </c>
      <c r="E1052" t="s">
        <v>30</v>
      </c>
      <c r="F1052">
        <v>26</v>
      </c>
      <c r="G1052">
        <v>1993</v>
      </c>
      <c r="H1052">
        <v>3</v>
      </c>
      <c r="I1052">
        <v>0</v>
      </c>
      <c r="J1052">
        <v>15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f t="shared" si="32"/>
        <v>0</v>
      </c>
      <c r="S1052" t="s">
        <v>497</v>
      </c>
      <c r="T1052">
        <v>20</v>
      </c>
      <c r="U1052" t="str">
        <f t="shared" si="33"/>
        <v>Megan Wynne:0</v>
      </c>
    </row>
    <row r="1053" spans="1:21" x14ac:dyDescent="0.2">
      <c r="A1053" t="s">
        <v>117</v>
      </c>
      <c r="B1053" t="s">
        <v>606</v>
      </c>
      <c r="C1053" t="s">
        <v>607</v>
      </c>
      <c r="D1053" t="s">
        <v>26</v>
      </c>
      <c r="E1053" t="s">
        <v>27</v>
      </c>
      <c r="F1053">
        <v>17</v>
      </c>
      <c r="G1053">
        <v>2002</v>
      </c>
      <c r="H1053">
        <v>1</v>
      </c>
      <c r="I1053">
        <v>0</v>
      </c>
      <c r="J1053">
        <v>2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f t="shared" si="32"/>
        <v>0</v>
      </c>
      <c r="S1053" t="s">
        <v>497</v>
      </c>
      <c r="T1053">
        <v>36</v>
      </c>
      <c r="U1053" t="str">
        <f t="shared" si="33"/>
        <v>Melisa Filis:0</v>
      </c>
    </row>
    <row r="1054" spans="1:21" x14ac:dyDescent="0.2">
      <c r="A1054" t="s">
        <v>190</v>
      </c>
      <c r="B1054" t="s">
        <v>606</v>
      </c>
      <c r="C1054" t="s">
        <v>607</v>
      </c>
      <c r="D1054" t="s">
        <v>42</v>
      </c>
      <c r="E1054" t="s">
        <v>65</v>
      </c>
      <c r="F1054">
        <v>25</v>
      </c>
      <c r="G1054">
        <v>1994</v>
      </c>
      <c r="H1054">
        <v>14</v>
      </c>
      <c r="I1054">
        <v>14</v>
      </c>
      <c r="J1054">
        <v>1209</v>
      </c>
      <c r="K1054">
        <v>1</v>
      </c>
      <c r="L1054">
        <v>0</v>
      </c>
      <c r="M1054">
        <v>0</v>
      </c>
      <c r="N1054">
        <v>1</v>
      </c>
      <c r="O1054">
        <v>2</v>
      </c>
      <c r="P1054">
        <v>3</v>
      </c>
      <c r="Q1054">
        <v>0</v>
      </c>
      <c r="R1054">
        <f t="shared" si="32"/>
        <v>9.1903317709769328E-6</v>
      </c>
      <c r="S1054" t="s">
        <v>497</v>
      </c>
      <c r="T1054">
        <v>6</v>
      </c>
      <c r="U1054" t="str">
        <f t="shared" si="33"/>
        <v>Melissa Lawley:0</v>
      </c>
    </row>
    <row r="1055" spans="1:21" x14ac:dyDescent="0.2">
      <c r="A1055" t="s">
        <v>70</v>
      </c>
      <c r="B1055" t="s">
        <v>606</v>
      </c>
      <c r="C1055" t="s">
        <v>607</v>
      </c>
      <c r="D1055" t="s">
        <v>50</v>
      </c>
      <c r="E1055" t="s">
        <v>20</v>
      </c>
      <c r="F1055">
        <v>25</v>
      </c>
      <c r="G1055">
        <v>1993</v>
      </c>
      <c r="H1055">
        <v>15</v>
      </c>
      <c r="I1055">
        <v>15</v>
      </c>
      <c r="J1055">
        <v>1350</v>
      </c>
      <c r="K1055">
        <v>1</v>
      </c>
      <c r="L1055">
        <v>1</v>
      </c>
      <c r="M1055">
        <v>1</v>
      </c>
      <c r="N1055">
        <v>0</v>
      </c>
      <c r="O1055">
        <v>0</v>
      </c>
      <c r="P1055">
        <v>2</v>
      </c>
      <c r="Q1055">
        <v>0</v>
      </c>
      <c r="R1055">
        <f t="shared" si="32"/>
        <v>8.2304526748971183E-6</v>
      </c>
      <c r="S1055" t="s">
        <v>497</v>
      </c>
      <c r="T1055">
        <v>39</v>
      </c>
      <c r="U1055" t="str">
        <f t="shared" si="33"/>
        <v>Millie Bright:1</v>
      </c>
    </row>
    <row r="1056" spans="1:21" x14ac:dyDescent="0.2">
      <c r="A1056" t="s">
        <v>512</v>
      </c>
      <c r="B1056" t="s">
        <v>606</v>
      </c>
      <c r="C1056" t="s">
        <v>607</v>
      </c>
      <c r="D1056" t="s">
        <v>26</v>
      </c>
      <c r="E1056" t="s">
        <v>35</v>
      </c>
      <c r="F1056">
        <v>23</v>
      </c>
      <c r="G1056">
        <v>1996</v>
      </c>
      <c r="H1056">
        <v>9</v>
      </c>
      <c r="I1056">
        <v>3</v>
      </c>
      <c r="J1056">
        <v>271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1</v>
      </c>
      <c r="Q1056">
        <v>0</v>
      </c>
      <c r="R1056">
        <f t="shared" si="32"/>
        <v>0</v>
      </c>
      <c r="S1056" t="s">
        <v>497</v>
      </c>
      <c r="T1056">
        <v>21</v>
      </c>
      <c r="U1056" t="str">
        <f t="shared" si="33"/>
        <v>Millie Farrow:0</v>
      </c>
    </row>
    <row r="1057" spans="1:21" x14ac:dyDescent="0.2">
      <c r="A1057" t="s">
        <v>310</v>
      </c>
      <c r="B1057" t="s">
        <v>606</v>
      </c>
      <c r="C1057" t="s">
        <v>607</v>
      </c>
      <c r="D1057" t="s">
        <v>50</v>
      </c>
      <c r="E1057" t="s">
        <v>52</v>
      </c>
      <c r="F1057">
        <v>23</v>
      </c>
      <c r="G1057">
        <v>1996</v>
      </c>
      <c r="H1057">
        <v>14</v>
      </c>
      <c r="I1057">
        <v>14</v>
      </c>
      <c r="J1057">
        <v>1249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1</v>
      </c>
      <c r="Q1057">
        <v>0</v>
      </c>
      <c r="R1057">
        <f t="shared" si="32"/>
        <v>0</v>
      </c>
      <c r="S1057" t="s">
        <v>497</v>
      </c>
      <c r="T1057">
        <v>23</v>
      </c>
      <c r="U1057" t="str">
        <f t="shared" si="33"/>
        <v>Millie Turner:0</v>
      </c>
    </row>
    <row r="1058" spans="1:21" x14ac:dyDescent="0.2">
      <c r="A1058" t="s">
        <v>49</v>
      </c>
      <c r="B1058" t="s">
        <v>606</v>
      </c>
      <c r="C1058" t="s">
        <v>607</v>
      </c>
      <c r="D1058" t="s">
        <v>50</v>
      </c>
      <c r="E1058" t="s">
        <v>35</v>
      </c>
      <c r="F1058">
        <v>23</v>
      </c>
      <c r="G1058">
        <v>1996</v>
      </c>
      <c r="H1058">
        <v>4</v>
      </c>
      <c r="I1058">
        <v>2</v>
      </c>
      <c r="J1058">
        <v>245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1</v>
      </c>
      <c r="Q1058">
        <v>0</v>
      </c>
      <c r="R1058">
        <f t="shared" si="32"/>
        <v>0</v>
      </c>
      <c r="S1058" t="s">
        <v>497</v>
      </c>
      <c r="T1058">
        <v>21</v>
      </c>
      <c r="U1058" t="str">
        <f t="shared" si="33"/>
        <v>Molly Bartrip:0</v>
      </c>
    </row>
    <row r="1059" spans="1:21" x14ac:dyDescent="0.2">
      <c r="A1059" t="s">
        <v>249</v>
      </c>
      <c r="B1059" t="s">
        <v>606</v>
      </c>
      <c r="C1059" t="s">
        <v>607</v>
      </c>
      <c r="D1059" t="s">
        <v>34</v>
      </c>
      <c r="E1059" t="s">
        <v>55</v>
      </c>
      <c r="F1059">
        <v>18</v>
      </c>
      <c r="G1059">
        <v>2001</v>
      </c>
      <c r="H1059">
        <v>13</v>
      </c>
      <c r="I1059">
        <v>7</v>
      </c>
      <c r="J1059">
        <v>563</v>
      </c>
      <c r="K1059">
        <v>1</v>
      </c>
      <c r="L1059">
        <v>3</v>
      </c>
      <c r="M1059">
        <v>1</v>
      </c>
      <c r="N1059">
        <v>0</v>
      </c>
      <c r="O1059">
        <v>0</v>
      </c>
      <c r="P1059">
        <v>0</v>
      </c>
      <c r="Q1059">
        <v>0</v>
      </c>
      <c r="R1059">
        <f t="shared" si="32"/>
        <v>1.9735543714229327E-5</v>
      </c>
      <c r="S1059" t="s">
        <v>497</v>
      </c>
      <c r="T1059">
        <v>19</v>
      </c>
      <c r="U1059" t="str">
        <f t="shared" si="33"/>
        <v>Molly Pike:3</v>
      </c>
    </row>
    <row r="1060" spans="1:21" x14ac:dyDescent="0.2">
      <c r="A1060" t="s">
        <v>149</v>
      </c>
      <c r="B1060" t="s">
        <v>624</v>
      </c>
      <c r="C1060" t="s">
        <v>625</v>
      </c>
      <c r="D1060" t="s">
        <v>19</v>
      </c>
      <c r="E1060" t="s">
        <v>35</v>
      </c>
      <c r="F1060">
        <v>30</v>
      </c>
      <c r="G1060">
        <v>1989</v>
      </c>
      <c r="H1060">
        <v>8</v>
      </c>
      <c r="I1060">
        <v>6</v>
      </c>
      <c r="J1060">
        <v>570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f t="shared" si="32"/>
        <v>0</v>
      </c>
      <c r="S1060" t="s">
        <v>497</v>
      </c>
      <c r="T1060">
        <v>21</v>
      </c>
      <c r="U1060" t="str">
        <f t="shared" si="33"/>
        <v>Natasha Harding:0</v>
      </c>
    </row>
    <row r="1061" spans="1:21" x14ac:dyDescent="0.2">
      <c r="A1061" t="s">
        <v>88</v>
      </c>
      <c r="B1061" t="s">
        <v>606</v>
      </c>
      <c r="C1061" t="s">
        <v>607</v>
      </c>
      <c r="D1061" t="s">
        <v>42</v>
      </c>
      <c r="E1061" t="s">
        <v>65</v>
      </c>
      <c r="F1061">
        <v>20</v>
      </c>
      <c r="G1061">
        <v>1999</v>
      </c>
      <c r="H1061">
        <v>13</v>
      </c>
      <c r="I1061">
        <v>13</v>
      </c>
      <c r="J1061">
        <v>1064</v>
      </c>
      <c r="K1061">
        <v>2</v>
      </c>
      <c r="L1061">
        <v>0</v>
      </c>
      <c r="M1061">
        <v>2</v>
      </c>
      <c r="N1061">
        <v>0</v>
      </c>
      <c r="O1061">
        <v>0</v>
      </c>
      <c r="P1061">
        <v>0</v>
      </c>
      <c r="Q1061">
        <v>0</v>
      </c>
      <c r="R1061">
        <f t="shared" si="32"/>
        <v>2.0885547201336673E-5</v>
      </c>
      <c r="S1061" t="s">
        <v>497</v>
      </c>
      <c r="T1061">
        <v>6</v>
      </c>
      <c r="U1061" t="str">
        <f t="shared" si="33"/>
        <v>Niamh Charles:0</v>
      </c>
    </row>
    <row r="1062" spans="1:21" x14ac:dyDescent="0.2">
      <c r="A1062" t="s">
        <v>115</v>
      </c>
      <c r="B1062" t="s">
        <v>632</v>
      </c>
      <c r="C1062" t="s">
        <v>633</v>
      </c>
      <c r="D1062" t="s">
        <v>50</v>
      </c>
      <c r="E1062" t="s">
        <v>65</v>
      </c>
      <c r="F1062">
        <v>31</v>
      </c>
      <c r="G1062">
        <v>1987</v>
      </c>
      <c r="H1062">
        <v>13</v>
      </c>
      <c r="I1062">
        <v>13</v>
      </c>
      <c r="J1062">
        <v>1144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1</v>
      </c>
      <c r="Q1062">
        <v>1</v>
      </c>
      <c r="R1062">
        <f t="shared" si="32"/>
        <v>0</v>
      </c>
      <c r="S1062" t="s">
        <v>497</v>
      </c>
      <c r="T1062">
        <v>6</v>
      </c>
      <c r="U1062" t="str">
        <f t="shared" si="33"/>
        <v>Niamh Fahey:0</v>
      </c>
    </row>
    <row r="1063" spans="1:21" x14ac:dyDescent="0.2">
      <c r="A1063" t="s">
        <v>505</v>
      </c>
      <c r="B1063" t="s">
        <v>628</v>
      </c>
      <c r="C1063" t="s">
        <v>629</v>
      </c>
      <c r="D1063" t="s">
        <v>34</v>
      </c>
      <c r="E1063" t="s">
        <v>426</v>
      </c>
      <c r="F1063">
        <v>25</v>
      </c>
      <c r="G1063">
        <v>1993</v>
      </c>
      <c r="H1063">
        <v>14</v>
      </c>
      <c r="I1063">
        <v>10</v>
      </c>
      <c r="J1063">
        <v>1021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1</v>
      </c>
      <c r="Q1063">
        <v>0</v>
      </c>
      <c r="R1063">
        <f t="shared" si="32"/>
        <v>0</v>
      </c>
      <c r="S1063" t="s">
        <v>497</v>
      </c>
      <c r="T1063">
        <v>9</v>
      </c>
      <c r="U1063" t="str">
        <f t="shared" si="33"/>
        <v>Olivia Chance:0</v>
      </c>
    </row>
    <row r="1064" spans="1:21" x14ac:dyDescent="0.2">
      <c r="A1064" t="s">
        <v>503</v>
      </c>
      <c r="B1064" t="s">
        <v>630</v>
      </c>
      <c r="C1064" t="s">
        <v>631</v>
      </c>
      <c r="D1064" t="s">
        <v>26</v>
      </c>
      <c r="E1064" t="s">
        <v>32</v>
      </c>
      <c r="F1064">
        <v>23</v>
      </c>
      <c r="G1064">
        <v>1996</v>
      </c>
      <c r="H1064">
        <v>12</v>
      </c>
      <c r="I1064">
        <v>6</v>
      </c>
      <c r="J1064">
        <v>578</v>
      </c>
      <c r="K1064">
        <v>10</v>
      </c>
      <c r="L1064">
        <v>0</v>
      </c>
      <c r="M1064">
        <v>10</v>
      </c>
      <c r="N1064">
        <v>0</v>
      </c>
      <c r="O1064">
        <v>0</v>
      </c>
      <c r="P1064">
        <v>0</v>
      </c>
      <c r="Q1064">
        <v>0</v>
      </c>
      <c r="R1064">
        <f t="shared" si="32"/>
        <v>1.9223375624759708E-4</v>
      </c>
      <c r="S1064" t="s">
        <v>497</v>
      </c>
      <c r="T1064">
        <v>40</v>
      </c>
      <c r="U1064" t="str">
        <f t="shared" si="33"/>
        <v>Pauline Bremer:0</v>
      </c>
    </row>
    <row r="1065" spans="1:21" x14ac:dyDescent="0.2">
      <c r="A1065" t="s">
        <v>530</v>
      </c>
      <c r="B1065" t="s">
        <v>610</v>
      </c>
      <c r="C1065" t="s">
        <v>611</v>
      </c>
      <c r="D1065" t="s">
        <v>40</v>
      </c>
      <c r="E1065" t="s">
        <v>27</v>
      </c>
      <c r="F1065">
        <v>27</v>
      </c>
      <c r="G1065">
        <v>1992</v>
      </c>
      <c r="H1065">
        <v>3</v>
      </c>
      <c r="I1065">
        <v>3</v>
      </c>
      <c r="J1065">
        <v>270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f t="shared" si="32"/>
        <v>0</v>
      </c>
      <c r="S1065" t="s">
        <v>497</v>
      </c>
      <c r="T1065">
        <v>36</v>
      </c>
      <c r="U1065" t="str">
        <f t="shared" si="33"/>
        <v>Pauline Peyraud-Magnin:0</v>
      </c>
    </row>
    <row r="1066" spans="1:21" x14ac:dyDescent="0.2">
      <c r="A1066" t="s">
        <v>240</v>
      </c>
      <c r="B1066" t="s">
        <v>606</v>
      </c>
      <c r="C1066" t="s">
        <v>607</v>
      </c>
      <c r="D1066" t="s">
        <v>50</v>
      </c>
      <c r="E1066" t="s">
        <v>426</v>
      </c>
      <c r="F1066">
        <v>19</v>
      </c>
      <c r="G1066">
        <v>2000</v>
      </c>
      <c r="H1066">
        <v>6</v>
      </c>
      <c r="I1066">
        <v>6</v>
      </c>
      <c r="J1066">
        <v>528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2</v>
      </c>
      <c r="Q1066">
        <v>0</v>
      </c>
      <c r="R1066">
        <f t="shared" si="32"/>
        <v>0</v>
      </c>
      <c r="S1066" t="s">
        <v>497</v>
      </c>
      <c r="T1066">
        <v>9</v>
      </c>
      <c r="U1066" t="str">
        <f t="shared" si="33"/>
        <v>Poppy Pattinson:0</v>
      </c>
    </row>
    <row r="1067" spans="1:21" x14ac:dyDescent="0.2">
      <c r="A1067" t="s">
        <v>191</v>
      </c>
      <c r="B1067" t="s">
        <v>606</v>
      </c>
      <c r="C1067" t="s">
        <v>607</v>
      </c>
      <c r="D1067" t="s">
        <v>40</v>
      </c>
      <c r="E1067" t="s">
        <v>35</v>
      </c>
      <c r="F1067">
        <v>28</v>
      </c>
      <c r="G1067">
        <v>1990</v>
      </c>
      <c r="H1067">
        <v>5</v>
      </c>
      <c r="I1067">
        <v>4</v>
      </c>
      <c r="J1067">
        <v>431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1</v>
      </c>
      <c r="Q1067">
        <v>0</v>
      </c>
      <c r="R1067">
        <f t="shared" si="32"/>
        <v>0</v>
      </c>
      <c r="S1067" t="s">
        <v>497</v>
      </c>
      <c r="T1067">
        <v>21</v>
      </c>
      <c r="U1067" t="str">
        <f t="shared" si="33"/>
        <v>Rachael Laws:0</v>
      </c>
    </row>
    <row r="1068" spans="1:21" x14ac:dyDescent="0.2">
      <c r="A1068" t="s">
        <v>127</v>
      </c>
      <c r="B1068" t="s">
        <v>646</v>
      </c>
      <c r="C1068" t="s">
        <v>647</v>
      </c>
      <c r="D1068" t="s">
        <v>34</v>
      </c>
      <c r="E1068" t="s">
        <v>65</v>
      </c>
      <c r="F1068">
        <v>31</v>
      </c>
      <c r="G1068">
        <v>1988</v>
      </c>
      <c r="H1068">
        <v>4</v>
      </c>
      <c r="I1068">
        <v>4</v>
      </c>
      <c r="J1068">
        <v>360</v>
      </c>
      <c r="K1068">
        <v>4</v>
      </c>
      <c r="L1068">
        <v>1</v>
      </c>
      <c r="M1068">
        <v>4</v>
      </c>
      <c r="N1068">
        <v>0</v>
      </c>
      <c r="O1068">
        <v>0</v>
      </c>
      <c r="P1068">
        <v>0</v>
      </c>
      <c r="Q1068">
        <v>0</v>
      </c>
      <c r="R1068">
        <f t="shared" si="32"/>
        <v>1.2345679012345679E-4</v>
      </c>
      <c r="S1068" t="s">
        <v>497</v>
      </c>
      <c r="T1068">
        <v>6</v>
      </c>
      <c r="U1068" t="str">
        <f t="shared" si="33"/>
        <v>Rachel Furness:1</v>
      </c>
    </row>
    <row r="1069" spans="1:21" x14ac:dyDescent="0.2">
      <c r="A1069" t="s">
        <v>127</v>
      </c>
      <c r="B1069" t="s">
        <v>646</v>
      </c>
      <c r="C1069" t="s">
        <v>647</v>
      </c>
      <c r="D1069" t="s">
        <v>23</v>
      </c>
      <c r="E1069" t="s">
        <v>30</v>
      </c>
      <c r="F1069">
        <v>31</v>
      </c>
      <c r="G1069">
        <v>1988</v>
      </c>
      <c r="H1069">
        <v>9</v>
      </c>
      <c r="I1069">
        <v>9</v>
      </c>
      <c r="J1069">
        <v>810</v>
      </c>
      <c r="K1069">
        <v>1</v>
      </c>
      <c r="L1069">
        <v>0</v>
      </c>
      <c r="M1069">
        <v>0</v>
      </c>
      <c r="N1069">
        <v>1</v>
      </c>
      <c r="O1069">
        <v>2</v>
      </c>
      <c r="P1069">
        <v>3</v>
      </c>
      <c r="Q1069">
        <v>0</v>
      </c>
      <c r="R1069">
        <f t="shared" si="32"/>
        <v>1.3717421124828532E-5</v>
      </c>
      <c r="S1069" t="s">
        <v>497</v>
      </c>
      <c r="T1069">
        <v>20</v>
      </c>
      <c r="U1069" t="str">
        <f t="shared" si="33"/>
        <v>Rachel Furness:0</v>
      </c>
    </row>
    <row r="1070" spans="1:21" x14ac:dyDescent="0.2">
      <c r="A1070" t="s">
        <v>266</v>
      </c>
      <c r="B1070" t="s">
        <v>624</v>
      </c>
      <c r="C1070" t="s">
        <v>625</v>
      </c>
      <c r="D1070" t="s">
        <v>50</v>
      </c>
      <c r="E1070" t="s">
        <v>35</v>
      </c>
      <c r="F1070">
        <v>26</v>
      </c>
      <c r="G1070">
        <v>1992</v>
      </c>
      <c r="H1070">
        <v>12</v>
      </c>
      <c r="I1070">
        <v>11</v>
      </c>
      <c r="J1070">
        <v>946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1</v>
      </c>
      <c r="R1070">
        <f t="shared" si="32"/>
        <v>0</v>
      </c>
      <c r="S1070" t="s">
        <v>497</v>
      </c>
      <c r="T1070">
        <v>21</v>
      </c>
      <c r="U1070" t="str">
        <f t="shared" si="33"/>
        <v>Rachel Rowe:0</v>
      </c>
    </row>
    <row r="1071" spans="1:21" x14ac:dyDescent="0.2">
      <c r="A1071" t="s">
        <v>328</v>
      </c>
      <c r="B1071" t="s">
        <v>606</v>
      </c>
      <c r="C1071" t="s">
        <v>607</v>
      </c>
      <c r="D1071" t="s">
        <v>26</v>
      </c>
      <c r="E1071" t="s">
        <v>360</v>
      </c>
      <c r="F1071">
        <v>31</v>
      </c>
      <c r="G1071">
        <v>1988</v>
      </c>
      <c r="H1071">
        <v>10</v>
      </c>
      <c r="I1071">
        <v>9</v>
      </c>
      <c r="J1071">
        <v>812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1</v>
      </c>
      <c r="Q1071">
        <v>0</v>
      </c>
      <c r="R1071">
        <f t="shared" si="32"/>
        <v>0</v>
      </c>
      <c r="S1071" t="s">
        <v>497</v>
      </c>
      <c r="T1071">
        <v>7</v>
      </c>
      <c r="U1071" t="str">
        <f t="shared" si="33"/>
        <v>Rachel Williams:0</v>
      </c>
    </row>
    <row r="1072" spans="1:21" x14ac:dyDescent="0.2">
      <c r="A1072" t="s">
        <v>517</v>
      </c>
      <c r="B1072" t="s">
        <v>642</v>
      </c>
      <c r="C1072" t="s">
        <v>643</v>
      </c>
      <c r="D1072" t="s">
        <v>26</v>
      </c>
      <c r="E1072" t="s">
        <v>35</v>
      </c>
      <c r="F1072">
        <v>30</v>
      </c>
      <c r="G1072">
        <v>1988</v>
      </c>
      <c r="H1072">
        <v>4</v>
      </c>
      <c r="I1072">
        <v>0</v>
      </c>
      <c r="J1072">
        <v>49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f t="shared" si="32"/>
        <v>0</v>
      </c>
      <c r="S1072" t="s">
        <v>497</v>
      </c>
      <c r="T1072">
        <v>21</v>
      </c>
      <c r="U1072" t="str">
        <f t="shared" si="33"/>
        <v>Rakel Hönnudóttir:0</v>
      </c>
    </row>
    <row r="1073" spans="1:21" x14ac:dyDescent="0.2">
      <c r="A1073" t="s">
        <v>499</v>
      </c>
      <c r="B1073" t="s">
        <v>614</v>
      </c>
      <c r="C1073" t="s">
        <v>615</v>
      </c>
      <c r="D1073" t="s">
        <v>42</v>
      </c>
      <c r="E1073" t="s">
        <v>20</v>
      </c>
      <c r="F1073">
        <v>28</v>
      </c>
      <c r="G1073">
        <v>1990</v>
      </c>
      <c r="H1073">
        <v>12</v>
      </c>
      <c r="I1073">
        <v>5</v>
      </c>
      <c r="J1073">
        <v>567</v>
      </c>
      <c r="K1073">
        <v>1</v>
      </c>
      <c r="L1073">
        <v>2</v>
      </c>
      <c r="M1073">
        <v>1</v>
      </c>
      <c r="N1073">
        <v>0</v>
      </c>
      <c r="O1073">
        <v>0</v>
      </c>
      <c r="P1073">
        <v>0</v>
      </c>
      <c r="Q1073">
        <v>0</v>
      </c>
      <c r="R1073">
        <f t="shared" si="32"/>
        <v>1.9596315892612188E-5</v>
      </c>
      <c r="S1073" t="s">
        <v>497</v>
      </c>
      <c r="T1073">
        <v>39</v>
      </c>
      <c r="U1073" t="str">
        <f t="shared" si="33"/>
        <v>Ramona Bachmann:2</v>
      </c>
    </row>
    <row r="1074" spans="1:21" x14ac:dyDescent="0.2">
      <c r="A1074" t="s">
        <v>382</v>
      </c>
      <c r="B1074" t="s">
        <v>646</v>
      </c>
      <c r="C1074" t="s">
        <v>647</v>
      </c>
      <c r="D1074" t="s">
        <v>50</v>
      </c>
      <c r="E1074" t="s">
        <v>360</v>
      </c>
      <c r="F1074">
        <v>23</v>
      </c>
      <c r="G1074">
        <v>1995</v>
      </c>
      <c r="H1074">
        <v>11</v>
      </c>
      <c r="I1074">
        <v>11</v>
      </c>
      <c r="J1074">
        <v>974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1</v>
      </c>
      <c r="Q1074">
        <v>0</v>
      </c>
      <c r="R1074">
        <f t="shared" si="32"/>
        <v>0</v>
      </c>
      <c r="S1074" t="s">
        <v>497</v>
      </c>
      <c r="T1074">
        <v>7</v>
      </c>
      <c r="U1074" t="str">
        <f t="shared" si="33"/>
        <v>Rebecca Holloway:0</v>
      </c>
    </row>
    <row r="1075" spans="1:21" x14ac:dyDescent="0.2">
      <c r="A1075" t="s">
        <v>171</v>
      </c>
      <c r="B1075" t="s">
        <v>606</v>
      </c>
      <c r="C1075" t="s">
        <v>607</v>
      </c>
      <c r="D1075" t="s">
        <v>50</v>
      </c>
      <c r="E1075" t="s">
        <v>65</v>
      </c>
      <c r="F1075">
        <v>27</v>
      </c>
      <c r="G1075">
        <v>1992</v>
      </c>
      <c r="H1075">
        <v>14</v>
      </c>
      <c r="I1075">
        <v>14</v>
      </c>
      <c r="J1075">
        <v>1256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1</v>
      </c>
      <c r="Q1075">
        <v>0</v>
      </c>
      <c r="R1075">
        <f t="shared" si="32"/>
        <v>0</v>
      </c>
      <c r="S1075" t="s">
        <v>497</v>
      </c>
      <c r="T1075">
        <v>6</v>
      </c>
      <c r="U1075" t="str">
        <f t="shared" si="33"/>
        <v>Rebecca Jane:0</v>
      </c>
    </row>
    <row r="1076" spans="1:21" x14ac:dyDescent="0.2">
      <c r="A1076" t="s">
        <v>525</v>
      </c>
      <c r="D1076" t="s">
        <v>26</v>
      </c>
      <c r="E1076" t="s">
        <v>52</v>
      </c>
      <c r="F1076">
        <v>17</v>
      </c>
      <c r="G1076">
        <v>2002</v>
      </c>
      <c r="H1076">
        <v>1</v>
      </c>
      <c r="I1076">
        <v>0</v>
      </c>
      <c r="J1076">
        <v>6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f t="shared" si="32"/>
        <v>0</v>
      </c>
      <c r="S1076" t="s">
        <v>497</v>
      </c>
      <c r="T1076">
        <v>23</v>
      </c>
      <c r="U1076" t="str">
        <f t="shared" si="33"/>
        <v>Rebecca May:0</v>
      </c>
    </row>
    <row r="1077" spans="1:21" x14ac:dyDescent="0.2">
      <c r="A1077" t="s">
        <v>286</v>
      </c>
      <c r="B1077" t="s">
        <v>650</v>
      </c>
      <c r="C1077" t="s">
        <v>651</v>
      </c>
      <c r="D1077" t="s">
        <v>40</v>
      </c>
      <c r="E1077" t="s">
        <v>30</v>
      </c>
      <c r="F1077">
        <v>28</v>
      </c>
      <c r="G1077">
        <v>1991</v>
      </c>
      <c r="H1077">
        <v>14</v>
      </c>
      <c r="I1077">
        <v>14</v>
      </c>
      <c r="J1077">
        <v>1207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f t="shared" si="32"/>
        <v>0</v>
      </c>
      <c r="S1077" t="s">
        <v>497</v>
      </c>
      <c r="T1077">
        <v>20</v>
      </c>
      <c r="U1077" t="str">
        <f t="shared" si="33"/>
        <v>Rebecca Spencer:0</v>
      </c>
    </row>
    <row r="1078" spans="1:21" x14ac:dyDescent="0.2">
      <c r="A1078" t="s">
        <v>36</v>
      </c>
      <c r="B1078" t="s">
        <v>606</v>
      </c>
      <c r="C1078" t="s">
        <v>607</v>
      </c>
      <c r="D1078" t="s">
        <v>34</v>
      </c>
      <c r="E1078" t="s">
        <v>35</v>
      </c>
      <c r="F1078">
        <v>28</v>
      </c>
      <c r="G1078">
        <v>1990</v>
      </c>
      <c r="H1078">
        <v>12</v>
      </c>
      <c r="I1078">
        <v>12</v>
      </c>
      <c r="J1078">
        <v>1080</v>
      </c>
      <c r="K1078">
        <v>3</v>
      </c>
      <c r="L1078">
        <v>3</v>
      </c>
      <c r="M1078">
        <v>3</v>
      </c>
      <c r="N1078">
        <v>0</v>
      </c>
      <c r="O1078">
        <v>0</v>
      </c>
      <c r="P1078">
        <v>4</v>
      </c>
      <c r="Q1078">
        <v>0</v>
      </c>
      <c r="R1078">
        <f t="shared" si="32"/>
        <v>3.0864197530864198E-5</v>
      </c>
      <c r="S1078" t="s">
        <v>497</v>
      </c>
      <c r="T1078">
        <v>21</v>
      </c>
      <c r="U1078" t="str">
        <f t="shared" si="33"/>
        <v>Remi Allen:3</v>
      </c>
    </row>
    <row r="1079" spans="1:21" x14ac:dyDescent="0.2">
      <c r="A1079" t="s">
        <v>261</v>
      </c>
      <c r="B1079" t="s">
        <v>624</v>
      </c>
      <c r="C1079" t="s">
        <v>625</v>
      </c>
      <c r="D1079" t="s">
        <v>34</v>
      </c>
      <c r="E1079" t="s">
        <v>65</v>
      </c>
      <c r="F1079">
        <v>28</v>
      </c>
      <c r="G1079">
        <v>1990</v>
      </c>
      <c r="H1079">
        <v>12</v>
      </c>
      <c r="I1079">
        <v>9</v>
      </c>
      <c r="J1079">
        <v>879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1</v>
      </c>
      <c r="Q1079">
        <v>0</v>
      </c>
      <c r="R1079">
        <f t="shared" si="32"/>
        <v>0</v>
      </c>
      <c r="S1079" t="s">
        <v>497</v>
      </c>
      <c r="T1079">
        <v>6</v>
      </c>
      <c r="U1079" t="str">
        <f t="shared" si="33"/>
        <v>Rhiannon Roberts:0</v>
      </c>
    </row>
    <row r="1080" spans="1:21" x14ac:dyDescent="0.2">
      <c r="A1080" t="s">
        <v>244</v>
      </c>
      <c r="B1080" t="s">
        <v>628</v>
      </c>
      <c r="C1080" t="s">
        <v>629</v>
      </c>
      <c r="D1080" t="s">
        <v>94</v>
      </c>
      <c r="E1080" t="s">
        <v>30</v>
      </c>
      <c r="F1080">
        <v>29</v>
      </c>
      <c r="G1080">
        <v>1989</v>
      </c>
      <c r="H1080">
        <v>14</v>
      </c>
      <c r="I1080">
        <v>14</v>
      </c>
      <c r="J1080">
        <v>1260</v>
      </c>
      <c r="K1080">
        <v>0</v>
      </c>
      <c r="L1080">
        <v>1</v>
      </c>
      <c r="M1080">
        <v>0</v>
      </c>
      <c r="N1080">
        <v>0</v>
      </c>
      <c r="O1080">
        <v>0</v>
      </c>
      <c r="P1080">
        <v>2</v>
      </c>
      <c r="Q1080">
        <v>0</v>
      </c>
      <c r="R1080">
        <f t="shared" si="32"/>
        <v>0</v>
      </c>
      <c r="S1080" t="s">
        <v>497</v>
      </c>
      <c r="T1080">
        <v>20</v>
      </c>
      <c r="U1080" t="str">
        <f t="shared" si="33"/>
        <v>Ria Percival:1</v>
      </c>
    </row>
    <row r="1081" spans="1:21" x14ac:dyDescent="0.2">
      <c r="A1081" t="s">
        <v>435</v>
      </c>
      <c r="B1081" t="s">
        <v>606</v>
      </c>
      <c r="C1081" t="s">
        <v>607</v>
      </c>
      <c r="D1081" t="s">
        <v>26</v>
      </c>
      <c r="E1081" t="s">
        <v>30</v>
      </c>
      <c r="F1081">
        <v>20</v>
      </c>
      <c r="G1081">
        <v>1998</v>
      </c>
      <c r="H1081">
        <v>14</v>
      </c>
      <c r="I1081">
        <v>13</v>
      </c>
      <c r="J1081">
        <v>1130</v>
      </c>
      <c r="K1081">
        <v>4</v>
      </c>
      <c r="L1081">
        <v>0</v>
      </c>
      <c r="M1081">
        <v>2</v>
      </c>
      <c r="N1081">
        <v>2</v>
      </c>
      <c r="O1081">
        <v>2</v>
      </c>
      <c r="P1081">
        <v>1</v>
      </c>
      <c r="Q1081">
        <v>0</v>
      </c>
      <c r="R1081">
        <f t="shared" si="32"/>
        <v>3.9331366764995083E-5</v>
      </c>
      <c r="S1081" t="s">
        <v>497</v>
      </c>
      <c r="T1081">
        <v>20</v>
      </c>
      <c r="U1081" t="str">
        <f t="shared" si="33"/>
        <v>Rianna Dean:0</v>
      </c>
    </row>
    <row r="1082" spans="1:21" x14ac:dyDescent="0.2">
      <c r="A1082" t="s">
        <v>345</v>
      </c>
      <c r="B1082" t="s">
        <v>606</v>
      </c>
      <c r="C1082" t="s">
        <v>607</v>
      </c>
      <c r="D1082" t="s">
        <v>42</v>
      </c>
      <c r="E1082" t="s">
        <v>65</v>
      </c>
      <c r="F1082">
        <v>21</v>
      </c>
      <c r="G1082">
        <v>1998</v>
      </c>
      <c r="H1082">
        <v>12</v>
      </c>
      <c r="I1082">
        <v>7</v>
      </c>
      <c r="J1082">
        <v>740</v>
      </c>
      <c r="K1082">
        <v>1</v>
      </c>
      <c r="L1082">
        <v>0</v>
      </c>
      <c r="M1082">
        <v>1</v>
      </c>
      <c r="N1082">
        <v>0</v>
      </c>
      <c r="O1082">
        <v>0</v>
      </c>
      <c r="P1082">
        <v>2</v>
      </c>
      <c r="Q1082">
        <v>0</v>
      </c>
      <c r="R1082">
        <f t="shared" si="32"/>
        <v>1.5015015015015016E-5</v>
      </c>
      <c r="S1082" t="s">
        <v>497</v>
      </c>
      <c r="T1082">
        <v>6</v>
      </c>
      <c r="U1082" t="str">
        <f t="shared" si="33"/>
        <v>Rinsola Babajide:0</v>
      </c>
    </row>
    <row r="1083" spans="1:21" x14ac:dyDescent="0.2">
      <c r="A1083" t="s">
        <v>44</v>
      </c>
      <c r="B1083" t="s">
        <v>672</v>
      </c>
      <c r="C1083" t="s">
        <v>673</v>
      </c>
      <c r="D1083" t="s">
        <v>42</v>
      </c>
      <c r="E1083" t="s">
        <v>30</v>
      </c>
      <c r="F1083">
        <v>23</v>
      </c>
      <c r="G1083">
        <v>1996</v>
      </c>
      <c r="H1083">
        <v>11</v>
      </c>
      <c r="I1083">
        <v>6</v>
      </c>
      <c r="J1083">
        <v>574</v>
      </c>
      <c r="K1083">
        <v>0</v>
      </c>
      <c r="L1083">
        <v>1</v>
      </c>
      <c r="M1083">
        <v>0</v>
      </c>
      <c r="N1083">
        <v>0</v>
      </c>
      <c r="O1083">
        <v>0</v>
      </c>
      <c r="P1083">
        <v>2</v>
      </c>
      <c r="Q1083">
        <v>1</v>
      </c>
      <c r="R1083">
        <f t="shared" si="32"/>
        <v>0</v>
      </c>
      <c r="S1083" t="s">
        <v>497</v>
      </c>
      <c r="T1083">
        <v>20</v>
      </c>
      <c r="U1083" t="str">
        <f t="shared" si="33"/>
        <v>Rosella Ayane:1</v>
      </c>
    </row>
    <row r="1084" spans="1:21" x14ac:dyDescent="0.2">
      <c r="A1084" t="s">
        <v>200</v>
      </c>
      <c r="B1084" t="s">
        <v>632</v>
      </c>
      <c r="C1084" t="s">
        <v>633</v>
      </c>
      <c r="D1084" t="s">
        <v>23</v>
      </c>
      <c r="E1084" t="s">
        <v>24</v>
      </c>
      <c r="F1084">
        <v>29</v>
      </c>
      <c r="G1084">
        <v>1990</v>
      </c>
      <c r="H1084">
        <v>2</v>
      </c>
      <c r="I1084">
        <v>0</v>
      </c>
      <c r="J1084">
        <v>32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f t="shared" si="32"/>
        <v>0</v>
      </c>
      <c r="S1084" t="s">
        <v>497</v>
      </c>
      <c r="T1084">
        <v>16</v>
      </c>
      <c r="U1084" t="str">
        <f t="shared" si="33"/>
        <v>Ruesha Littlejohn:0</v>
      </c>
    </row>
    <row r="1085" spans="1:21" x14ac:dyDescent="0.2">
      <c r="A1085" t="s">
        <v>179</v>
      </c>
      <c r="B1085" t="s">
        <v>612</v>
      </c>
      <c r="C1085" t="s">
        <v>613</v>
      </c>
      <c r="D1085" t="s">
        <v>26</v>
      </c>
      <c r="E1085" t="s">
        <v>20</v>
      </c>
      <c r="F1085">
        <v>25</v>
      </c>
      <c r="G1085">
        <v>1993</v>
      </c>
      <c r="H1085">
        <v>4</v>
      </c>
      <c r="I1085">
        <v>3</v>
      </c>
      <c r="J1085">
        <v>294</v>
      </c>
      <c r="K1085">
        <v>1</v>
      </c>
      <c r="L1085">
        <v>1</v>
      </c>
      <c r="M1085">
        <v>1</v>
      </c>
      <c r="N1085">
        <v>0</v>
      </c>
      <c r="O1085">
        <v>0</v>
      </c>
      <c r="P1085">
        <v>0</v>
      </c>
      <c r="Q1085">
        <v>0</v>
      </c>
      <c r="R1085">
        <f t="shared" si="32"/>
        <v>3.7792894935752078E-5</v>
      </c>
      <c r="S1085" t="s">
        <v>497</v>
      </c>
      <c r="T1085">
        <v>39</v>
      </c>
      <c r="U1085" t="str">
        <f t="shared" si="33"/>
        <v>Sam Kerr:1</v>
      </c>
    </row>
    <row r="1086" spans="1:21" x14ac:dyDescent="0.2">
      <c r="A1086" t="s">
        <v>205</v>
      </c>
      <c r="B1086" t="s">
        <v>606</v>
      </c>
      <c r="C1086" t="s">
        <v>607</v>
      </c>
      <c r="D1086" t="s">
        <v>40</v>
      </c>
      <c r="E1086" t="s">
        <v>55</v>
      </c>
      <c r="F1086">
        <v>21</v>
      </c>
      <c r="G1086">
        <v>1998</v>
      </c>
      <c r="H1086">
        <v>3</v>
      </c>
      <c r="I1086">
        <v>3</v>
      </c>
      <c r="J1086">
        <v>270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f t="shared" si="32"/>
        <v>0</v>
      </c>
      <c r="S1086" t="s">
        <v>497</v>
      </c>
      <c r="T1086">
        <v>19</v>
      </c>
      <c r="U1086" t="str">
        <f t="shared" si="33"/>
        <v>Sandy MacIver:0</v>
      </c>
    </row>
    <row r="1087" spans="1:21" x14ac:dyDescent="0.2">
      <c r="A1087" t="s">
        <v>212</v>
      </c>
      <c r="B1087" t="s">
        <v>606</v>
      </c>
      <c r="C1087" t="s">
        <v>607</v>
      </c>
      <c r="D1087" t="s">
        <v>19</v>
      </c>
      <c r="E1087" t="s">
        <v>360</v>
      </c>
      <c r="F1087">
        <v>22</v>
      </c>
      <c r="G1087">
        <v>1997</v>
      </c>
      <c r="H1087">
        <v>9</v>
      </c>
      <c r="I1087">
        <v>8</v>
      </c>
      <c r="J1087">
        <v>721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f t="shared" si="32"/>
        <v>0</v>
      </c>
      <c r="S1087" t="s">
        <v>497</v>
      </c>
      <c r="T1087">
        <v>7</v>
      </c>
      <c r="U1087" t="str">
        <f t="shared" si="33"/>
        <v>Sarah Mayling:0</v>
      </c>
    </row>
    <row r="1088" spans="1:21" x14ac:dyDescent="0.2">
      <c r="A1088" t="s">
        <v>206</v>
      </c>
      <c r="B1088" t="s">
        <v>646</v>
      </c>
      <c r="C1088" t="s">
        <v>647</v>
      </c>
      <c r="D1088" t="s">
        <v>42</v>
      </c>
      <c r="E1088" t="s">
        <v>55</v>
      </c>
      <c r="F1088">
        <v>24</v>
      </c>
      <c r="G1088">
        <v>1994</v>
      </c>
      <c r="H1088">
        <v>12</v>
      </c>
      <c r="I1088">
        <v>10</v>
      </c>
      <c r="J1088">
        <v>895</v>
      </c>
      <c r="K1088">
        <v>1</v>
      </c>
      <c r="L1088">
        <v>2</v>
      </c>
      <c r="M1088">
        <v>1</v>
      </c>
      <c r="N1088">
        <v>0</v>
      </c>
      <c r="O1088">
        <v>0</v>
      </c>
      <c r="P1088">
        <v>0</v>
      </c>
      <c r="Q1088">
        <v>0</v>
      </c>
      <c r="R1088">
        <f t="shared" si="32"/>
        <v>1.2414649286157666E-5</v>
      </c>
      <c r="S1088" t="s">
        <v>497</v>
      </c>
      <c r="T1088">
        <v>19</v>
      </c>
      <c r="U1088" t="str">
        <f t="shared" si="33"/>
        <v>Simone Magill:2</v>
      </c>
    </row>
    <row r="1089" spans="1:21" x14ac:dyDescent="0.2">
      <c r="A1089" t="s">
        <v>496</v>
      </c>
      <c r="B1089" t="s">
        <v>626</v>
      </c>
      <c r="C1089" t="s">
        <v>627</v>
      </c>
      <c r="D1089" t="s">
        <v>50</v>
      </c>
      <c r="E1089" t="s">
        <v>30</v>
      </c>
      <c r="F1089">
        <v>27</v>
      </c>
      <c r="G1089">
        <v>1992</v>
      </c>
      <c r="H1089">
        <v>10</v>
      </c>
      <c r="I1089">
        <v>10</v>
      </c>
      <c r="J1089">
        <v>728</v>
      </c>
      <c r="K1089">
        <v>1</v>
      </c>
      <c r="L1089">
        <v>1</v>
      </c>
      <c r="M1089">
        <v>1</v>
      </c>
      <c r="N1089">
        <v>0</v>
      </c>
      <c r="O1089">
        <v>0</v>
      </c>
      <c r="P1089">
        <v>1</v>
      </c>
      <c r="Q1089">
        <v>0</v>
      </c>
      <c r="R1089">
        <f t="shared" si="32"/>
        <v>1.5262515262515263E-5</v>
      </c>
      <c r="S1089" t="s">
        <v>497</v>
      </c>
      <c r="T1089">
        <v>20</v>
      </c>
      <c r="U1089" t="str">
        <f t="shared" si="33"/>
        <v>Siri Worm:1</v>
      </c>
    </row>
    <row r="1090" spans="1:21" x14ac:dyDescent="0.2">
      <c r="A1090" t="s">
        <v>427</v>
      </c>
      <c r="B1090" t="s">
        <v>606</v>
      </c>
      <c r="C1090" t="s">
        <v>607</v>
      </c>
      <c r="D1090" t="s">
        <v>40</v>
      </c>
      <c r="E1090" t="s">
        <v>426</v>
      </c>
      <c r="F1090">
        <v>22</v>
      </c>
      <c r="G1090">
        <v>1996</v>
      </c>
      <c r="H1090">
        <v>14</v>
      </c>
      <c r="I1090">
        <v>14</v>
      </c>
      <c r="J1090">
        <v>1260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f t="shared" si="32"/>
        <v>0</v>
      </c>
      <c r="S1090" t="s">
        <v>497</v>
      </c>
      <c r="T1090">
        <v>9</v>
      </c>
      <c r="U1090" t="str">
        <f t="shared" si="33"/>
        <v>Sophie Baggaley:0</v>
      </c>
    </row>
    <row r="1091" spans="1:21" x14ac:dyDescent="0.2">
      <c r="A1091" t="s">
        <v>502</v>
      </c>
      <c r="B1091" t="s">
        <v>606</v>
      </c>
      <c r="C1091" t="s">
        <v>607</v>
      </c>
      <c r="D1091" t="s">
        <v>50</v>
      </c>
      <c r="E1091" t="s">
        <v>65</v>
      </c>
      <c r="F1091">
        <v>29</v>
      </c>
      <c r="G1091">
        <v>1989</v>
      </c>
      <c r="H1091">
        <v>14</v>
      </c>
      <c r="I1091">
        <v>14</v>
      </c>
      <c r="J1091">
        <v>1260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2</v>
      </c>
      <c r="Q1091">
        <v>0</v>
      </c>
      <c r="R1091">
        <f t="shared" ref="R1091:R1154" si="34">K1091/J1091/90</f>
        <v>0</v>
      </c>
      <c r="S1091" t="s">
        <v>497</v>
      </c>
      <c r="T1091">
        <v>6</v>
      </c>
      <c r="U1091" t="str">
        <f t="shared" ref="U1091:U1154" si="35">CONCATENATE(A1091, ":", L1091)</f>
        <v>Sophie Bradley:0</v>
      </c>
    </row>
    <row r="1092" spans="1:21" x14ac:dyDescent="0.2">
      <c r="A1092" t="s">
        <v>378</v>
      </c>
      <c r="B1092" t="s">
        <v>606</v>
      </c>
      <c r="C1092" t="s">
        <v>607</v>
      </c>
      <c r="D1092" t="s">
        <v>40</v>
      </c>
      <c r="E1092" t="s">
        <v>48</v>
      </c>
      <c r="F1092">
        <v>24</v>
      </c>
      <c r="G1092">
        <v>1994</v>
      </c>
      <c r="H1092">
        <v>1</v>
      </c>
      <c r="I1092">
        <v>1</v>
      </c>
      <c r="J1092">
        <v>90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f t="shared" si="34"/>
        <v>0</v>
      </c>
      <c r="S1092" t="s">
        <v>497</v>
      </c>
      <c r="T1092">
        <v>13</v>
      </c>
      <c r="U1092" t="str">
        <f t="shared" si="35"/>
        <v>Sophie Harris:0</v>
      </c>
    </row>
    <row r="1093" spans="1:21" x14ac:dyDescent="0.2">
      <c r="A1093" t="s">
        <v>163</v>
      </c>
      <c r="B1093" t="s">
        <v>652</v>
      </c>
      <c r="C1093" t="s">
        <v>653</v>
      </c>
      <c r="D1093" t="s">
        <v>50</v>
      </c>
      <c r="E1093" t="s">
        <v>35</v>
      </c>
      <c r="F1093">
        <v>25</v>
      </c>
      <c r="G1093">
        <v>1993</v>
      </c>
      <c r="H1093">
        <v>11</v>
      </c>
      <c r="I1093">
        <v>11</v>
      </c>
      <c r="J1093">
        <v>909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2</v>
      </c>
      <c r="Q1093">
        <v>0</v>
      </c>
      <c r="R1093">
        <f t="shared" si="34"/>
        <v>0</v>
      </c>
      <c r="S1093" t="s">
        <v>497</v>
      </c>
      <c r="T1093">
        <v>21</v>
      </c>
      <c r="U1093" t="str">
        <f t="shared" si="35"/>
        <v>Sophie Howard:0</v>
      </c>
    </row>
    <row r="1094" spans="1:21" x14ac:dyDescent="0.2">
      <c r="A1094" t="s">
        <v>167</v>
      </c>
      <c r="B1094" t="s">
        <v>624</v>
      </c>
      <c r="C1094" t="s">
        <v>625</v>
      </c>
      <c r="D1094" t="s">
        <v>34</v>
      </c>
      <c r="E1094" t="s">
        <v>20</v>
      </c>
      <c r="F1094">
        <v>27</v>
      </c>
      <c r="G1094">
        <v>1991</v>
      </c>
      <c r="H1094">
        <v>15</v>
      </c>
      <c r="I1094">
        <v>15</v>
      </c>
      <c r="J1094">
        <v>1264</v>
      </c>
      <c r="K1094">
        <v>4</v>
      </c>
      <c r="L1094">
        <v>0</v>
      </c>
      <c r="M1094">
        <v>4</v>
      </c>
      <c r="N1094">
        <v>0</v>
      </c>
      <c r="O1094">
        <v>0</v>
      </c>
      <c r="P1094">
        <v>1</v>
      </c>
      <c r="Q1094">
        <v>0</v>
      </c>
      <c r="R1094">
        <f t="shared" si="34"/>
        <v>3.5161744022503517E-5</v>
      </c>
      <c r="S1094" t="s">
        <v>497</v>
      </c>
      <c r="T1094">
        <v>39</v>
      </c>
      <c r="U1094" t="str">
        <f t="shared" si="35"/>
        <v>Sophie Ingle:0</v>
      </c>
    </row>
    <row r="1095" spans="1:21" x14ac:dyDescent="0.2">
      <c r="A1095" t="s">
        <v>161</v>
      </c>
      <c r="B1095" t="s">
        <v>606</v>
      </c>
      <c r="C1095" t="s">
        <v>607</v>
      </c>
      <c r="D1095" t="s">
        <v>50</v>
      </c>
      <c r="E1095" t="s">
        <v>32</v>
      </c>
      <c r="F1095">
        <v>31</v>
      </c>
      <c r="G1095">
        <v>1988</v>
      </c>
      <c r="H1095">
        <v>16</v>
      </c>
      <c r="I1095">
        <v>16</v>
      </c>
      <c r="J1095">
        <v>1440</v>
      </c>
      <c r="K1095">
        <v>2</v>
      </c>
      <c r="L1095">
        <v>1</v>
      </c>
      <c r="M1095">
        <v>2</v>
      </c>
      <c r="N1095">
        <v>0</v>
      </c>
      <c r="O1095">
        <v>0</v>
      </c>
      <c r="P1095">
        <v>0</v>
      </c>
      <c r="Q1095">
        <v>0</v>
      </c>
      <c r="R1095">
        <f t="shared" si="34"/>
        <v>1.5432098765432099E-5</v>
      </c>
      <c r="S1095" t="s">
        <v>497</v>
      </c>
      <c r="T1095">
        <v>40</v>
      </c>
      <c r="U1095" t="str">
        <f t="shared" si="35"/>
        <v>Steph Houghton:1</v>
      </c>
    </row>
    <row r="1096" spans="1:21" x14ac:dyDescent="0.2">
      <c r="A1096" t="s">
        <v>157</v>
      </c>
      <c r="B1096" t="s">
        <v>606</v>
      </c>
      <c r="C1096" t="s">
        <v>607</v>
      </c>
      <c r="D1096" t="s">
        <v>50</v>
      </c>
      <c r="E1096" t="s">
        <v>55</v>
      </c>
      <c r="F1096">
        <v>19</v>
      </c>
      <c r="G1096">
        <v>1999</v>
      </c>
      <c r="H1096">
        <v>6</v>
      </c>
      <c r="I1096">
        <v>2</v>
      </c>
      <c r="J1096">
        <v>216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f t="shared" si="34"/>
        <v>0</v>
      </c>
      <c r="S1096" t="s">
        <v>497</v>
      </c>
      <c r="T1096">
        <v>19</v>
      </c>
      <c r="U1096" t="str">
        <f t="shared" si="35"/>
        <v>Taylor Hinds:0</v>
      </c>
    </row>
    <row r="1097" spans="1:21" x14ac:dyDescent="0.2">
      <c r="A1097" t="s">
        <v>544</v>
      </c>
      <c r="B1097" t="s">
        <v>622</v>
      </c>
      <c r="C1097" t="s">
        <v>623</v>
      </c>
      <c r="D1097" t="s">
        <v>42</v>
      </c>
      <c r="E1097" t="s">
        <v>32</v>
      </c>
      <c r="F1097">
        <v>26</v>
      </c>
      <c r="G1097">
        <v>1993</v>
      </c>
      <c r="H1097">
        <v>13</v>
      </c>
      <c r="I1097">
        <v>10</v>
      </c>
      <c r="J1097">
        <v>872</v>
      </c>
      <c r="K1097">
        <v>3</v>
      </c>
      <c r="L1097">
        <v>1</v>
      </c>
      <c r="M1097">
        <v>3</v>
      </c>
      <c r="N1097">
        <v>0</v>
      </c>
      <c r="O1097">
        <v>0</v>
      </c>
      <c r="P1097">
        <v>2</v>
      </c>
      <c r="Q1097">
        <v>0</v>
      </c>
      <c r="R1097">
        <f t="shared" si="34"/>
        <v>3.8226299694189607E-5</v>
      </c>
      <c r="S1097" t="s">
        <v>497</v>
      </c>
      <c r="T1097">
        <v>40</v>
      </c>
      <c r="U1097" t="str">
        <f t="shared" si="35"/>
        <v>Tessa Wullaert:1</v>
      </c>
    </row>
    <row r="1098" spans="1:21" x14ac:dyDescent="0.2">
      <c r="A1098" t="s">
        <v>526</v>
      </c>
      <c r="B1098" t="s">
        <v>626</v>
      </c>
      <c r="C1098" t="s">
        <v>627</v>
      </c>
      <c r="D1098" t="s">
        <v>34</v>
      </c>
      <c r="E1098" t="s">
        <v>24</v>
      </c>
      <c r="F1098">
        <v>26</v>
      </c>
      <c r="G1098">
        <v>1992</v>
      </c>
      <c r="H1098">
        <v>13</v>
      </c>
      <c r="I1098">
        <v>9</v>
      </c>
      <c r="J1098">
        <v>713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2</v>
      </c>
      <c r="Q1098">
        <v>0</v>
      </c>
      <c r="R1098">
        <f t="shared" si="34"/>
        <v>0</v>
      </c>
      <c r="S1098" t="s">
        <v>497</v>
      </c>
      <c r="T1098">
        <v>16</v>
      </c>
      <c r="U1098" t="str">
        <f t="shared" si="35"/>
        <v>Tessel Middag:0</v>
      </c>
    </row>
    <row r="1099" spans="1:21" x14ac:dyDescent="0.2">
      <c r="A1099" t="s">
        <v>184</v>
      </c>
      <c r="B1099" t="s">
        <v>656</v>
      </c>
      <c r="C1099" t="s">
        <v>657</v>
      </c>
      <c r="D1099" t="s">
        <v>40</v>
      </c>
      <c r="E1099" t="s">
        <v>55</v>
      </c>
      <c r="F1099">
        <v>33</v>
      </c>
      <c r="G1099">
        <v>1986</v>
      </c>
      <c r="H1099">
        <v>11</v>
      </c>
      <c r="I1099">
        <v>11</v>
      </c>
      <c r="J1099">
        <v>990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f t="shared" si="34"/>
        <v>0</v>
      </c>
      <c r="S1099" t="s">
        <v>497</v>
      </c>
      <c r="T1099">
        <v>19</v>
      </c>
      <c r="U1099" t="str">
        <f t="shared" si="35"/>
        <v>Tinja-Riikka Korpela:0</v>
      </c>
    </row>
    <row r="1100" spans="1:21" x14ac:dyDescent="0.2">
      <c r="A1100" t="s">
        <v>539</v>
      </c>
      <c r="B1100" t="s">
        <v>632</v>
      </c>
      <c r="C1100" t="s">
        <v>633</v>
      </c>
      <c r="D1100" t="s">
        <v>34</v>
      </c>
      <c r="E1100" t="s">
        <v>32</v>
      </c>
      <c r="F1100">
        <v>17</v>
      </c>
      <c r="G1100">
        <v>2001</v>
      </c>
      <c r="H1100">
        <v>1</v>
      </c>
      <c r="I1100">
        <v>0</v>
      </c>
      <c r="J1100">
        <v>16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f t="shared" si="34"/>
        <v>0</v>
      </c>
      <c r="S1100" t="s">
        <v>497</v>
      </c>
      <c r="T1100">
        <v>40</v>
      </c>
      <c r="U1100" t="str">
        <f t="shared" si="35"/>
        <v>Tyler Toland:0</v>
      </c>
    </row>
    <row r="1101" spans="1:21" x14ac:dyDescent="0.2">
      <c r="A1101" t="s">
        <v>541</v>
      </c>
      <c r="B1101" t="s">
        <v>606</v>
      </c>
      <c r="C1101" t="s">
        <v>607</v>
      </c>
      <c r="D1101" t="s">
        <v>40</v>
      </c>
      <c r="E1101" t="s">
        <v>30</v>
      </c>
      <c r="F1101">
        <v>31</v>
      </c>
      <c r="G1101">
        <v>1988</v>
      </c>
      <c r="H1101">
        <v>3</v>
      </c>
      <c r="I1101">
        <v>1</v>
      </c>
      <c r="J1101">
        <v>143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f t="shared" si="34"/>
        <v>0</v>
      </c>
      <c r="S1101" t="s">
        <v>497</v>
      </c>
      <c r="T1101">
        <v>20</v>
      </c>
      <c r="U1101" t="str">
        <f t="shared" si="35"/>
        <v>Vencislav Vasilev:0</v>
      </c>
    </row>
    <row r="1102" spans="1:21" x14ac:dyDescent="0.2">
      <c r="A1102" t="s">
        <v>329</v>
      </c>
      <c r="B1102" t="s">
        <v>650</v>
      </c>
      <c r="C1102" t="s">
        <v>651</v>
      </c>
      <c r="D1102" t="s">
        <v>50</v>
      </c>
      <c r="E1102" t="s">
        <v>48</v>
      </c>
      <c r="F1102">
        <v>29</v>
      </c>
      <c r="G1102">
        <v>1990</v>
      </c>
      <c r="H1102">
        <v>12</v>
      </c>
      <c r="I1102">
        <v>11</v>
      </c>
      <c r="J1102">
        <v>1001</v>
      </c>
      <c r="K1102">
        <v>0</v>
      </c>
      <c r="L1102">
        <v>0</v>
      </c>
      <c r="M1102">
        <v>0</v>
      </c>
      <c r="N1102">
        <v>0</v>
      </c>
      <c r="O1102">
        <v>1</v>
      </c>
      <c r="P1102">
        <v>0</v>
      </c>
      <c r="Q1102">
        <v>0</v>
      </c>
      <c r="R1102">
        <f t="shared" si="34"/>
        <v>0</v>
      </c>
      <c r="S1102" t="s">
        <v>497</v>
      </c>
      <c r="T1102">
        <v>13</v>
      </c>
      <c r="U1102" t="str">
        <f t="shared" si="35"/>
        <v>Victoria Williams:0</v>
      </c>
    </row>
    <row r="1103" spans="1:21" x14ac:dyDescent="0.2">
      <c r="A1103" t="s">
        <v>406</v>
      </c>
      <c r="B1103" t="s">
        <v>668</v>
      </c>
      <c r="C1103" t="s">
        <v>669</v>
      </c>
      <c r="D1103" t="s">
        <v>50</v>
      </c>
      <c r="E1103" t="s">
        <v>27</v>
      </c>
      <c r="F1103">
        <v>28</v>
      </c>
      <c r="G1103">
        <v>1991</v>
      </c>
      <c r="H1103">
        <v>10</v>
      </c>
      <c r="I1103">
        <v>10</v>
      </c>
      <c r="J1103">
        <v>876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1</v>
      </c>
      <c r="Q1103">
        <v>0</v>
      </c>
      <c r="R1103">
        <f t="shared" si="34"/>
        <v>0</v>
      </c>
      <c r="S1103" t="s">
        <v>497</v>
      </c>
      <c r="T1103">
        <v>36</v>
      </c>
      <c r="U1103" t="str">
        <f t="shared" si="35"/>
        <v>Viktoria Schnaderbeck:0</v>
      </c>
    </row>
    <row r="1104" spans="1:21" x14ac:dyDescent="0.2">
      <c r="A1104" t="s">
        <v>508</v>
      </c>
      <c r="B1104" t="s">
        <v>626</v>
      </c>
      <c r="C1104" t="s">
        <v>627</v>
      </c>
      <c r="D1104" t="s">
        <v>34</v>
      </c>
      <c r="E1104" t="s">
        <v>426</v>
      </c>
      <c r="F1104">
        <v>22</v>
      </c>
      <c r="G1104">
        <v>1997</v>
      </c>
      <c r="H1104">
        <v>1</v>
      </c>
      <c r="I1104">
        <v>1</v>
      </c>
      <c r="J1104">
        <v>50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f t="shared" si="34"/>
        <v>0</v>
      </c>
      <c r="S1104" t="s">
        <v>497</v>
      </c>
      <c r="T1104">
        <v>9</v>
      </c>
      <c r="U1104" t="str">
        <f t="shared" si="35"/>
        <v>Vita van der Linden:0</v>
      </c>
    </row>
    <row r="1105" spans="1:21" x14ac:dyDescent="0.2">
      <c r="A1105" t="s">
        <v>217</v>
      </c>
      <c r="B1105" t="s">
        <v>626</v>
      </c>
      <c r="C1105" t="s">
        <v>627</v>
      </c>
      <c r="D1105" t="s">
        <v>26</v>
      </c>
      <c r="E1105" t="s">
        <v>27</v>
      </c>
      <c r="F1105">
        <v>23</v>
      </c>
      <c r="G1105">
        <v>1996</v>
      </c>
      <c r="H1105">
        <v>14</v>
      </c>
      <c r="I1105">
        <v>14</v>
      </c>
      <c r="J1105">
        <v>1226</v>
      </c>
      <c r="K1105">
        <v>16</v>
      </c>
      <c r="L1105">
        <v>8</v>
      </c>
      <c r="M1105">
        <v>16</v>
      </c>
      <c r="N1105">
        <v>0</v>
      </c>
      <c r="O1105">
        <v>0</v>
      </c>
      <c r="P1105">
        <v>1</v>
      </c>
      <c r="Q1105">
        <v>0</v>
      </c>
      <c r="R1105">
        <f t="shared" si="34"/>
        <v>1.4500634402755123E-4</v>
      </c>
      <c r="S1105" t="s">
        <v>497</v>
      </c>
      <c r="T1105">
        <v>36</v>
      </c>
      <c r="U1105" t="str">
        <f t="shared" si="35"/>
        <v>Vivianne Miedema:8</v>
      </c>
    </row>
    <row r="1106" spans="1:21" x14ac:dyDescent="0.2">
      <c r="A1106" t="s">
        <v>455</v>
      </c>
      <c r="B1106" t="s">
        <v>670</v>
      </c>
      <c r="C1106" t="s">
        <v>671</v>
      </c>
      <c r="D1106" t="s">
        <v>26</v>
      </c>
      <c r="E1106" t="s">
        <v>24</v>
      </c>
      <c r="F1106">
        <v>16</v>
      </c>
      <c r="G1106">
        <v>2003</v>
      </c>
      <c r="H1106">
        <v>1</v>
      </c>
      <c r="I1106">
        <v>0</v>
      </c>
      <c r="J1106">
        <v>1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f t="shared" si="34"/>
        <v>0</v>
      </c>
      <c r="S1106" t="s">
        <v>497</v>
      </c>
      <c r="T1106">
        <v>16</v>
      </c>
      <c r="U1106" t="str">
        <f t="shared" si="35"/>
        <v>Wiktoria Kiszkis:0</v>
      </c>
    </row>
    <row r="1107" spans="1:21" x14ac:dyDescent="0.2">
      <c r="A1107" t="s">
        <v>105</v>
      </c>
      <c r="B1107" t="s">
        <v>622</v>
      </c>
      <c r="C1107" t="s">
        <v>623</v>
      </c>
      <c r="D1107" t="s">
        <v>23</v>
      </c>
      <c r="E1107" t="s">
        <v>426</v>
      </c>
      <c r="F1107">
        <v>27</v>
      </c>
      <c r="G1107">
        <v>1992</v>
      </c>
      <c r="H1107">
        <v>14</v>
      </c>
      <c r="I1107">
        <v>13</v>
      </c>
      <c r="J1107">
        <v>1173</v>
      </c>
      <c r="K1107">
        <v>2</v>
      </c>
      <c r="L1107">
        <v>1</v>
      </c>
      <c r="M1107">
        <v>2</v>
      </c>
      <c r="N1107">
        <v>0</v>
      </c>
      <c r="O1107">
        <v>1</v>
      </c>
      <c r="P1107">
        <v>1</v>
      </c>
      <c r="Q1107">
        <v>0</v>
      </c>
      <c r="R1107">
        <f t="shared" si="34"/>
        <v>1.8944775978024058E-5</v>
      </c>
      <c r="S1107" t="s">
        <v>497</v>
      </c>
      <c r="T1107">
        <v>9</v>
      </c>
      <c r="U1107" t="str">
        <f t="shared" si="35"/>
        <v>Yana Daniels:1</v>
      </c>
    </row>
    <row r="1108" spans="1:21" x14ac:dyDescent="0.2">
      <c r="A1108" t="s">
        <v>293</v>
      </c>
      <c r="B1108" t="s">
        <v>606</v>
      </c>
      <c r="C1108" t="s">
        <v>607</v>
      </c>
      <c r="D1108" t="s">
        <v>34</v>
      </c>
      <c r="E1108" t="s">
        <v>55</v>
      </c>
      <c r="F1108">
        <v>23</v>
      </c>
      <c r="G1108">
        <v>1995</v>
      </c>
      <c r="H1108">
        <v>15</v>
      </c>
      <c r="I1108">
        <v>13</v>
      </c>
      <c r="J1108">
        <v>1171</v>
      </c>
      <c r="K1108">
        <v>1</v>
      </c>
      <c r="L1108">
        <v>1</v>
      </c>
      <c r="M1108">
        <v>1</v>
      </c>
      <c r="N1108">
        <v>0</v>
      </c>
      <c r="O1108">
        <v>0</v>
      </c>
      <c r="P1108">
        <v>4</v>
      </c>
      <c r="Q1108">
        <v>0</v>
      </c>
      <c r="R1108">
        <f t="shared" si="34"/>
        <v>9.4885662776354497E-6</v>
      </c>
      <c r="S1108" t="s">
        <v>548</v>
      </c>
      <c r="T1108">
        <v>12</v>
      </c>
      <c r="U1108" t="str">
        <f t="shared" si="35"/>
        <v>Abbey-Leigh Stringer:1</v>
      </c>
    </row>
    <row r="1109" spans="1:21" x14ac:dyDescent="0.2">
      <c r="A1109" t="s">
        <v>215</v>
      </c>
      <c r="B1109" t="s">
        <v>606</v>
      </c>
      <c r="C1109" t="s">
        <v>607</v>
      </c>
      <c r="D1109" t="s">
        <v>50</v>
      </c>
      <c r="E1109" t="s">
        <v>32</v>
      </c>
      <c r="F1109">
        <v>25</v>
      </c>
      <c r="G1109">
        <v>1993</v>
      </c>
      <c r="H1109">
        <v>13</v>
      </c>
      <c r="I1109">
        <v>10</v>
      </c>
      <c r="J1109">
        <v>911</v>
      </c>
      <c r="K1109">
        <v>0</v>
      </c>
      <c r="L1109">
        <v>2</v>
      </c>
      <c r="M1109">
        <v>0</v>
      </c>
      <c r="N1109">
        <v>0</v>
      </c>
      <c r="O1109">
        <v>0</v>
      </c>
      <c r="P1109">
        <v>2</v>
      </c>
      <c r="Q1109">
        <v>0</v>
      </c>
      <c r="R1109">
        <f t="shared" si="34"/>
        <v>0</v>
      </c>
      <c r="S1109" t="s">
        <v>548</v>
      </c>
      <c r="T1109">
        <v>47</v>
      </c>
      <c r="U1109" t="str">
        <f t="shared" si="35"/>
        <v>Abbie McManus:2</v>
      </c>
    </row>
    <row r="1110" spans="1:21" x14ac:dyDescent="0.2">
      <c r="A1110" t="s">
        <v>450</v>
      </c>
      <c r="B1110" t="s">
        <v>652</v>
      </c>
      <c r="C1110" t="s">
        <v>653</v>
      </c>
      <c r="D1110" t="s">
        <v>42</v>
      </c>
      <c r="E1110" t="s">
        <v>426</v>
      </c>
      <c r="F1110">
        <v>20</v>
      </c>
      <c r="G1110">
        <v>1997</v>
      </c>
      <c r="H1110">
        <v>8</v>
      </c>
      <c r="I1110">
        <v>7</v>
      </c>
      <c r="J1110">
        <v>646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f t="shared" si="34"/>
        <v>0</v>
      </c>
      <c r="S1110" t="s">
        <v>548</v>
      </c>
      <c r="T1110">
        <v>25</v>
      </c>
      <c r="U1110" t="str">
        <f t="shared" si="35"/>
        <v>Abigail Harrison:0</v>
      </c>
    </row>
    <row r="1111" spans="1:21" x14ac:dyDescent="0.2">
      <c r="A1111" t="s">
        <v>510</v>
      </c>
      <c r="B1111" t="s">
        <v>656</v>
      </c>
      <c r="C1111" t="s">
        <v>657</v>
      </c>
      <c r="D1111" t="s">
        <v>42</v>
      </c>
      <c r="E1111" t="s">
        <v>20</v>
      </c>
      <c r="F1111">
        <v>23</v>
      </c>
      <c r="G1111">
        <v>1994</v>
      </c>
      <c r="H1111">
        <v>11</v>
      </c>
      <c r="I1111">
        <v>3</v>
      </c>
      <c r="J1111">
        <v>383</v>
      </c>
      <c r="K1111">
        <v>2</v>
      </c>
      <c r="L1111">
        <v>2</v>
      </c>
      <c r="M1111">
        <v>2</v>
      </c>
      <c r="N1111">
        <v>0</v>
      </c>
      <c r="O1111">
        <v>0</v>
      </c>
      <c r="P1111">
        <v>0</v>
      </c>
      <c r="Q1111">
        <v>0</v>
      </c>
      <c r="R1111">
        <f t="shared" si="34"/>
        <v>5.8021467943138962E-5</v>
      </c>
      <c r="S1111" t="s">
        <v>548</v>
      </c>
      <c r="T1111">
        <v>42</v>
      </c>
      <c r="U1111" t="str">
        <f t="shared" si="35"/>
        <v>Adelina Engman:2</v>
      </c>
    </row>
    <row r="1112" spans="1:21" x14ac:dyDescent="0.2">
      <c r="A1112" t="s">
        <v>196</v>
      </c>
      <c r="B1112" t="s">
        <v>608</v>
      </c>
      <c r="C1112" t="s">
        <v>609</v>
      </c>
      <c r="D1112" t="s">
        <v>42</v>
      </c>
      <c r="E1112" t="s">
        <v>24</v>
      </c>
      <c r="F1112">
        <v>25</v>
      </c>
      <c r="G1112">
        <v>1992</v>
      </c>
      <c r="H1112">
        <v>6</v>
      </c>
      <c r="I1112">
        <v>4</v>
      </c>
      <c r="J1112">
        <v>348</v>
      </c>
      <c r="K1112">
        <v>1</v>
      </c>
      <c r="L1112">
        <v>0</v>
      </c>
      <c r="M1112">
        <v>1</v>
      </c>
      <c r="N1112">
        <v>0</v>
      </c>
      <c r="O1112">
        <v>0</v>
      </c>
      <c r="P1112">
        <v>0</v>
      </c>
      <c r="Q1112">
        <v>0</v>
      </c>
      <c r="R1112">
        <f t="shared" si="34"/>
        <v>3.192848020434227E-5</v>
      </c>
      <c r="S1112" t="s">
        <v>548</v>
      </c>
      <c r="T1112">
        <v>23</v>
      </c>
      <c r="U1112" t="str">
        <f t="shared" si="35"/>
        <v>Adriana Leon:0</v>
      </c>
    </row>
    <row r="1113" spans="1:21" x14ac:dyDescent="0.2">
      <c r="A1113" t="s">
        <v>325</v>
      </c>
      <c r="B1113" t="s">
        <v>606</v>
      </c>
      <c r="C1113" t="s">
        <v>607</v>
      </c>
      <c r="D1113" t="s">
        <v>23</v>
      </c>
      <c r="E1113" t="s">
        <v>48</v>
      </c>
      <c r="F1113">
        <v>26</v>
      </c>
      <c r="G1113">
        <v>1991</v>
      </c>
      <c r="H1113">
        <v>20</v>
      </c>
      <c r="I1113">
        <v>20</v>
      </c>
      <c r="J1113">
        <v>1723</v>
      </c>
      <c r="K1113">
        <v>1</v>
      </c>
      <c r="L1113">
        <v>2</v>
      </c>
      <c r="M1113">
        <v>1</v>
      </c>
      <c r="N1113">
        <v>0</v>
      </c>
      <c r="O1113">
        <v>0</v>
      </c>
      <c r="P1113">
        <v>0</v>
      </c>
      <c r="Q1113">
        <v>0</v>
      </c>
      <c r="R1113">
        <f t="shared" si="34"/>
        <v>6.4487005868317533E-6</v>
      </c>
      <c r="S1113" t="s">
        <v>548</v>
      </c>
      <c r="T1113">
        <v>16</v>
      </c>
      <c r="U1113" t="str">
        <f t="shared" si="35"/>
        <v>Aileen Whelan:2</v>
      </c>
    </row>
    <row r="1114" spans="1:21" x14ac:dyDescent="0.2">
      <c r="A1114" t="s">
        <v>576</v>
      </c>
      <c r="B1114" t="s">
        <v>606</v>
      </c>
      <c r="C1114" t="s">
        <v>607</v>
      </c>
      <c r="D1114" t="s">
        <v>50</v>
      </c>
      <c r="E1114" t="s">
        <v>426</v>
      </c>
      <c r="H1114">
        <v>3</v>
      </c>
      <c r="I1114">
        <v>1</v>
      </c>
      <c r="J1114">
        <v>106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f t="shared" si="34"/>
        <v>0</v>
      </c>
      <c r="S1114" t="s">
        <v>548</v>
      </c>
      <c r="T1114">
        <v>25</v>
      </c>
      <c r="U1114" t="str">
        <f t="shared" si="35"/>
        <v>Ali Johnson:0</v>
      </c>
    </row>
    <row r="1115" spans="1:21" x14ac:dyDescent="0.2">
      <c r="A1115" t="s">
        <v>594</v>
      </c>
      <c r="B1115" t="s">
        <v>628</v>
      </c>
      <c r="C1115" t="s">
        <v>629</v>
      </c>
      <c r="D1115" t="s">
        <v>19</v>
      </c>
      <c r="E1115" t="s">
        <v>20</v>
      </c>
      <c r="F1115">
        <v>30</v>
      </c>
      <c r="G1115">
        <v>1987</v>
      </c>
      <c r="H1115">
        <v>9</v>
      </c>
      <c r="I1115">
        <v>2</v>
      </c>
      <c r="J1115">
        <v>352</v>
      </c>
      <c r="K1115">
        <v>0</v>
      </c>
      <c r="L1115">
        <v>2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f t="shared" si="34"/>
        <v>0</v>
      </c>
      <c r="S1115" t="s">
        <v>548</v>
      </c>
      <c r="T1115">
        <v>42</v>
      </c>
      <c r="U1115" t="str">
        <f t="shared" si="35"/>
        <v>Ali Riley:2</v>
      </c>
    </row>
    <row r="1116" spans="1:21" x14ac:dyDescent="0.2">
      <c r="A1116" t="s">
        <v>194</v>
      </c>
      <c r="B1116" t="s">
        <v>614</v>
      </c>
      <c r="C1116" t="s">
        <v>615</v>
      </c>
      <c r="D1116" t="s">
        <v>42</v>
      </c>
      <c r="E1116" t="s">
        <v>24</v>
      </c>
      <c r="F1116">
        <v>19</v>
      </c>
      <c r="G1116">
        <v>1999</v>
      </c>
      <c r="H1116">
        <v>20</v>
      </c>
      <c r="I1116">
        <v>20</v>
      </c>
      <c r="J1116">
        <v>1721</v>
      </c>
      <c r="K1116">
        <v>6</v>
      </c>
      <c r="L1116">
        <v>3</v>
      </c>
      <c r="M1116">
        <v>6</v>
      </c>
      <c r="N1116">
        <v>0</v>
      </c>
      <c r="O1116">
        <v>0</v>
      </c>
      <c r="P1116">
        <v>1</v>
      </c>
      <c r="Q1116">
        <v>0</v>
      </c>
      <c r="R1116">
        <f t="shared" si="34"/>
        <v>3.8737168312996318E-5</v>
      </c>
      <c r="S1116" t="s">
        <v>548</v>
      </c>
      <c r="T1116">
        <v>23</v>
      </c>
      <c r="U1116" t="str">
        <f t="shared" si="35"/>
        <v>Alisha Lehmann:3</v>
      </c>
    </row>
    <row r="1117" spans="1:21" x14ac:dyDescent="0.2">
      <c r="A1117" t="s">
        <v>529</v>
      </c>
      <c r="B1117" t="s">
        <v>658</v>
      </c>
      <c r="C1117" t="s">
        <v>659</v>
      </c>
      <c r="D1117" t="s">
        <v>29</v>
      </c>
      <c r="E1117" t="s">
        <v>48</v>
      </c>
      <c r="F1117">
        <v>19</v>
      </c>
      <c r="G1117">
        <v>1998</v>
      </c>
      <c r="H1117">
        <v>4</v>
      </c>
      <c r="I1117">
        <v>1</v>
      </c>
      <c r="J1117">
        <v>148</v>
      </c>
      <c r="K1117">
        <v>1</v>
      </c>
      <c r="L1117">
        <v>0</v>
      </c>
      <c r="M1117">
        <v>1</v>
      </c>
      <c r="N1117">
        <v>0</v>
      </c>
      <c r="O1117">
        <v>0</v>
      </c>
      <c r="P1117">
        <v>0</v>
      </c>
      <c r="Q1117">
        <v>0</v>
      </c>
      <c r="R1117">
        <f t="shared" si="34"/>
        <v>7.5075075075075085E-5</v>
      </c>
      <c r="S1117" t="s">
        <v>548</v>
      </c>
      <c r="T1117">
        <v>16</v>
      </c>
      <c r="U1117" t="str">
        <f t="shared" si="35"/>
        <v>Amanda Nildén:0</v>
      </c>
    </row>
    <row r="1118" spans="1:21" x14ac:dyDescent="0.2">
      <c r="A1118" t="s">
        <v>566</v>
      </c>
      <c r="B1118" t="s">
        <v>606</v>
      </c>
      <c r="C1118" t="s">
        <v>607</v>
      </c>
      <c r="D1118" t="s">
        <v>23</v>
      </c>
      <c r="E1118" t="s">
        <v>547</v>
      </c>
      <c r="F1118">
        <v>23</v>
      </c>
      <c r="G1118">
        <v>1995</v>
      </c>
      <c r="H1118">
        <v>12</v>
      </c>
      <c r="I1118">
        <v>10</v>
      </c>
      <c r="J1118">
        <v>812</v>
      </c>
      <c r="K1118">
        <v>1</v>
      </c>
      <c r="L1118">
        <v>0</v>
      </c>
      <c r="M1118">
        <v>1</v>
      </c>
      <c r="N1118">
        <v>0</v>
      </c>
      <c r="O1118">
        <v>0</v>
      </c>
      <c r="P1118">
        <v>1</v>
      </c>
      <c r="Q1118">
        <v>0</v>
      </c>
      <c r="R1118">
        <f t="shared" si="34"/>
        <v>1.3683634373289546E-5</v>
      </c>
      <c r="S1118" t="s">
        <v>548</v>
      </c>
      <c r="T1118">
        <v>-3</v>
      </c>
      <c r="U1118" t="str">
        <f t="shared" si="35"/>
        <v>Amber Gaylor:0</v>
      </c>
    </row>
    <row r="1119" spans="1:21" x14ac:dyDescent="0.2">
      <c r="A1119" t="s">
        <v>571</v>
      </c>
      <c r="B1119" t="s">
        <v>606</v>
      </c>
      <c r="C1119" t="s">
        <v>607</v>
      </c>
      <c r="D1119" t="s">
        <v>42</v>
      </c>
      <c r="E1119" t="s">
        <v>27</v>
      </c>
      <c r="F1119">
        <v>17</v>
      </c>
      <c r="G1119">
        <v>2000</v>
      </c>
      <c r="H1119">
        <v>2</v>
      </c>
      <c r="I1119">
        <v>0</v>
      </c>
      <c r="J1119">
        <v>23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f t="shared" si="34"/>
        <v>0</v>
      </c>
      <c r="S1119" t="s">
        <v>548</v>
      </c>
      <c r="T1119">
        <v>54</v>
      </c>
      <c r="U1119" t="str">
        <f t="shared" si="35"/>
        <v>Amelia Hazard:0</v>
      </c>
    </row>
    <row r="1120" spans="1:21" x14ac:dyDescent="0.2">
      <c r="A1120" t="s">
        <v>568</v>
      </c>
      <c r="B1120" t="s">
        <v>606</v>
      </c>
      <c r="C1120" t="s">
        <v>607</v>
      </c>
      <c r="D1120" t="s">
        <v>50</v>
      </c>
      <c r="E1120" t="s">
        <v>547</v>
      </c>
      <c r="H1120">
        <v>14</v>
      </c>
      <c r="I1120">
        <v>11</v>
      </c>
      <c r="J1120">
        <v>882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f t="shared" si="34"/>
        <v>0</v>
      </c>
      <c r="S1120" t="s">
        <v>548</v>
      </c>
      <c r="T1120">
        <v>-3</v>
      </c>
      <c r="U1120" t="str">
        <f t="shared" si="35"/>
        <v>Amy Goddard:0</v>
      </c>
    </row>
    <row r="1121" spans="1:21" x14ac:dyDescent="0.2">
      <c r="A1121" t="s">
        <v>534</v>
      </c>
      <c r="B1121" t="s">
        <v>652</v>
      </c>
      <c r="C1121" t="s">
        <v>653</v>
      </c>
      <c r="D1121" t="s">
        <v>94</v>
      </c>
      <c r="E1121" t="s">
        <v>65</v>
      </c>
      <c r="F1121">
        <v>18</v>
      </c>
      <c r="G1121">
        <v>2000</v>
      </c>
      <c r="H1121">
        <v>12</v>
      </c>
      <c r="I1121">
        <v>9</v>
      </c>
      <c r="J1121">
        <v>839</v>
      </c>
      <c r="K1121">
        <v>1</v>
      </c>
      <c r="L1121">
        <v>1</v>
      </c>
      <c r="M1121">
        <v>1</v>
      </c>
      <c r="N1121">
        <v>0</v>
      </c>
      <c r="O1121">
        <v>0</v>
      </c>
      <c r="P1121">
        <v>1</v>
      </c>
      <c r="Q1121">
        <v>0</v>
      </c>
      <c r="R1121">
        <f t="shared" si="34"/>
        <v>1.3243279035889286E-5</v>
      </c>
      <c r="S1121" t="s">
        <v>548</v>
      </c>
      <c r="T1121">
        <v>22</v>
      </c>
      <c r="U1121" t="str">
        <f t="shared" si="35"/>
        <v>Amy Rodgers:1</v>
      </c>
    </row>
    <row r="1122" spans="1:21" x14ac:dyDescent="0.2">
      <c r="A1122" t="s">
        <v>169</v>
      </c>
      <c r="B1122" t="s">
        <v>624</v>
      </c>
      <c r="C1122" t="s">
        <v>625</v>
      </c>
      <c r="D1122" t="s">
        <v>34</v>
      </c>
      <c r="E1122" t="s">
        <v>55</v>
      </c>
      <c r="F1122">
        <v>24</v>
      </c>
      <c r="G1122">
        <v>1994</v>
      </c>
      <c r="H1122">
        <v>19</v>
      </c>
      <c r="I1122">
        <v>18</v>
      </c>
      <c r="J1122">
        <v>1624</v>
      </c>
      <c r="K1122">
        <v>0</v>
      </c>
      <c r="L1122">
        <v>1</v>
      </c>
      <c r="M1122">
        <v>0</v>
      </c>
      <c r="N1122">
        <v>0</v>
      </c>
      <c r="O1122">
        <v>0</v>
      </c>
      <c r="P1122">
        <v>1</v>
      </c>
      <c r="Q1122">
        <v>0</v>
      </c>
      <c r="R1122">
        <f t="shared" si="34"/>
        <v>0</v>
      </c>
      <c r="S1122" t="s">
        <v>548</v>
      </c>
      <c r="T1122">
        <v>12</v>
      </c>
      <c r="U1122" t="str">
        <f t="shared" si="35"/>
        <v>Angharad James:1</v>
      </c>
    </row>
    <row r="1123" spans="1:21" x14ac:dyDescent="0.2">
      <c r="A1123" t="s">
        <v>344</v>
      </c>
      <c r="B1123" t="s">
        <v>606</v>
      </c>
      <c r="C1123" t="s">
        <v>607</v>
      </c>
      <c r="D1123" t="s">
        <v>50</v>
      </c>
      <c r="E1123" t="s">
        <v>20</v>
      </c>
      <c r="F1123">
        <v>33</v>
      </c>
      <c r="G1123">
        <v>1985</v>
      </c>
      <c r="H1123">
        <v>3</v>
      </c>
      <c r="I1123">
        <v>2</v>
      </c>
      <c r="J1123">
        <v>196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f t="shared" si="34"/>
        <v>0</v>
      </c>
      <c r="S1123" t="s">
        <v>548</v>
      </c>
      <c r="T1123">
        <v>42</v>
      </c>
      <c r="U1123" t="str">
        <f t="shared" si="35"/>
        <v>Anita Asante:0</v>
      </c>
    </row>
    <row r="1124" spans="1:21" x14ac:dyDescent="0.2">
      <c r="A1124" t="s">
        <v>532</v>
      </c>
      <c r="B1124" t="s">
        <v>630</v>
      </c>
      <c r="C1124" t="s">
        <v>631</v>
      </c>
      <c r="D1124" t="s">
        <v>40</v>
      </c>
      <c r="E1124" t="s">
        <v>65</v>
      </c>
      <c r="F1124">
        <v>25</v>
      </c>
      <c r="G1124">
        <v>1992</v>
      </c>
      <c r="H1124">
        <v>14</v>
      </c>
      <c r="I1124">
        <v>14</v>
      </c>
      <c r="J1124">
        <v>1260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f t="shared" si="34"/>
        <v>0</v>
      </c>
      <c r="S1124" t="s">
        <v>548</v>
      </c>
      <c r="T1124">
        <v>22</v>
      </c>
      <c r="U1124" t="str">
        <f t="shared" si="35"/>
        <v>Anke Preuß:0</v>
      </c>
    </row>
    <row r="1125" spans="1:21" x14ac:dyDescent="0.2">
      <c r="A1125" t="s">
        <v>527</v>
      </c>
      <c r="B1125" t="s">
        <v>606</v>
      </c>
      <c r="C1125" t="s">
        <v>607</v>
      </c>
      <c r="D1125" t="s">
        <v>40</v>
      </c>
      <c r="E1125" t="s">
        <v>24</v>
      </c>
      <c r="F1125">
        <v>23</v>
      </c>
      <c r="G1125">
        <v>1995</v>
      </c>
      <c r="H1125">
        <v>10</v>
      </c>
      <c r="I1125">
        <v>10</v>
      </c>
      <c r="J1125">
        <v>805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1</v>
      </c>
      <c r="R1125">
        <f t="shared" si="34"/>
        <v>0</v>
      </c>
      <c r="S1125" t="s">
        <v>548</v>
      </c>
      <c r="T1125">
        <v>23</v>
      </c>
      <c r="U1125" t="str">
        <f t="shared" si="35"/>
        <v>Anna Moorhouse:0</v>
      </c>
    </row>
    <row r="1126" spans="1:21" x14ac:dyDescent="0.2">
      <c r="A1126" t="s">
        <v>552</v>
      </c>
      <c r="B1126" t="s">
        <v>606</v>
      </c>
      <c r="C1126" t="s">
        <v>607</v>
      </c>
      <c r="D1126" t="s">
        <v>26</v>
      </c>
      <c r="E1126" t="s">
        <v>65</v>
      </c>
      <c r="F1126">
        <v>17</v>
      </c>
      <c r="G1126">
        <v>2001</v>
      </c>
      <c r="H1126">
        <v>1</v>
      </c>
      <c r="I1126">
        <v>0</v>
      </c>
      <c r="J1126">
        <v>8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f t="shared" si="34"/>
        <v>0</v>
      </c>
      <c r="S1126" t="s">
        <v>548</v>
      </c>
      <c r="T1126">
        <v>22</v>
      </c>
      <c r="U1126" t="str">
        <f t="shared" si="35"/>
        <v>Annabel Blanchard:0</v>
      </c>
    </row>
    <row r="1127" spans="1:21" x14ac:dyDescent="0.2">
      <c r="A1127" t="s">
        <v>57</v>
      </c>
      <c r="B1127" t="s">
        <v>630</v>
      </c>
      <c r="C1127" t="s">
        <v>631</v>
      </c>
      <c r="D1127" t="s">
        <v>40</v>
      </c>
      <c r="E1127" t="s">
        <v>20</v>
      </c>
      <c r="F1127">
        <v>27</v>
      </c>
      <c r="G1127">
        <v>1990</v>
      </c>
      <c r="H1127">
        <v>1</v>
      </c>
      <c r="I1127">
        <v>1</v>
      </c>
      <c r="J1127">
        <v>90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f t="shared" si="34"/>
        <v>0</v>
      </c>
      <c r="S1127" t="s">
        <v>548</v>
      </c>
      <c r="T1127">
        <v>42</v>
      </c>
      <c r="U1127" t="str">
        <f t="shared" si="35"/>
        <v>Ann-Katrin Berger:0</v>
      </c>
    </row>
    <row r="1128" spans="1:21" x14ac:dyDescent="0.2">
      <c r="A1128" t="s">
        <v>57</v>
      </c>
      <c r="B1128" t="s">
        <v>630</v>
      </c>
      <c r="C1128" t="s">
        <v>631</v>
      </c>
      <c r="D1128" t="s">
        <v>40</v>
      </c>
      <c r="E1128" t="s">
        <v>360</v>
      </c>
      <c r="F1128">
        <v>27</v>
      </c>
      <c r="G1128">
        <v>1990</v>
      </c>
      <c r="H1128">
        <v>8</v>
      </c>
      <c r="I1128">
        <v>8</v>
      </c>
      <c r="J1128">
        <v>720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f t="shared" si="34"/>
        <v>0</v>
      </c>
      <c r="S1128" t="s">
        <v>548</v>
      </c>
      <c r="T1128">
        <v>40</v>
      </c>
      <c r="U1128" t="str">
        <f t="shared" si="35"/>
        <v>Ann-Katrin Berger:0</v>
      </c>
    </row>
    <row r="1129" spans="1:21" x14ac:dyDescent="0.2">
      <c r="A1129" t="s">
        <v>572</v>
      </c>
      <c r="B1129" t="s">
        <v>606</v>
      </c>
      <c r="C1129" t="s">
        <v>607</v>
      </c>
      <c r="D1129" t="s">
        <v>23</v>
      </c>
      <c r="E1129" t="s">
        <v>547</v>
      </c>
      <c r="F1129">
        <v>34</v>
      </c>
      <c r="G1129">
        <v>1984</v>
      </c>
      <c r="H1129">
        <v>20</v>
      </c>
      <c r="I1129">
        <v>19</v>
      </c>
      <c r="J1129">
        <v>1663</v>
      </c>
      <c r="K1129">
        <v>2</v>
      </c>
      <c r="L1129">
        <v>1</v>
      </c>
      <c r="M1129">
        <v>2</v>
      </c>
      <c r="N1129">
        <v>0</v>
      </c>
      <c r="O1129">
        <v>0</v>
      </c>
      <c r="P1129">
        <v>1</v>
      </c>
      <c r="Q1129">
        <v>0</v>
      </c>
      <c r="R1129">
        <f t="shared" si="34"/>
        <v>1.3362731342286364E-5</v>
      </c>
      <c r="S1129" t="s">
        <v>548</v>
      </c>
      <c r="T1129">
        <v>-3</v>
      </c>
      <c r="U1129" t="str">
        <f t="shared" si="35"/>
        <v>Ann-Marie Heatherson:1</v>
      </c>
    </row>
    <row r="1130" spans="1:21" x14ac:dyDescent="0.2">
      <c r="A1130" t="s">
        <v>208</v>
      </c>
      <c r="B1130" t="s">
        <v>632</v>
      </c>
      <c r="C1130" t="s">
        <v>633</v>
      </c>
      <c r="D1130" t="s">
        <v>50</v>
      </c>
      <c r="E1130" t="s">
        <v>360</v>
      </c>
      <c r="F1130">
        <v>22</v>
      </c>
      <c r="G1130">
        <v>1995</v>
      </c>
      <c r="H1130">
        <v>20</v>
      </c>
      <c r="I1130">
        <v>20</v>
      </c>
      <c r="J1130">
        <v>1800</v>
      </c>
      <c r="K1130">
        <v>2</v>
      </c>
      <c r="L1130">
        <v>0</v>
      </c>
      <c r="M1130">
        <v>1</v>
      </c>
      <c r="N1130">
        <v>1</v>
      </c>
      <c r="O1130">
        <v>2</v>
      </c>
      <c r="P1130">
        <v>4</v>
      </c>
      <c r="Q1130">
        <v>0</v>
      </c>
      <c r="R1130">
        <f t="shared" si="34"/>
        <v>1.2345679012345678E-5</v>
      </c>
      <c r="S1130" t="s">
        <v>548</v>
      </c>
      <c r="T1130">
        <v>40</v>
      </c>
      <c r="U1130" t="str">
        <f t="shared" si="35"/>
        <v>Aoife Mannion:0</v>
      </c>
    </row>
    <row r="1131" spans="1:21" x14ac:dyDescent="0.2">
      <c r="A1131" t="s">
        <v>516</v>
      </c>
      <c r="B1131" t="s">
        <v>606</v>
      </c>
      <c r="C1131" t="s">
        <v>607</v>
      </c>
      <c r="D1131" t="s">
        <v>23</v>
      </c>
      <c r="E1131" t="s">
        <v>65</v>
      </c>
      <c r="F1131">
        <v>23</v>
      </c>
      <c r="G1131">
        <v>1995</v>
      </c>
      <c r="H1131">
        <v>6</v>
      </c>
      <c r="I1131">
        <v>0</v>
      </c>
      <c r="J1131">
        <v>105</v>
      </c>
      <c r="K1131">
        <v>1</v>
      </c>
      <c r="L1131">
        <v>0</v>
      </c>
      <c r="M1131">
        <v>1</v>
      </c>
      <c r="N1131">
        <v>0</v>
      </c>
      <c r="O1131">
        <v>0</v>
      </c>
      <c r="P1131">
        <v>1</v>
      </c>
      <c r="Q1131">
        <v>0</v>
      </c>
      <c r="R1131">
        <f t="shared" si="34"/>
        <v>1.0582010582010582E-4</v>
      </c>
      <c r="S1131" t="s">
        <v>548</v>
      </c>
      <c r="T1131">
        <v>22</v>
      </c>
      <c r="U1131" t="str">
        <f t="shared" si="35"/>
        <v>Ashley Hodson:0</v>
      </c>
    </row>
    <row r="1132" spans="1:21" x14ac:dyDescent="0.2">
      <c r="A1132" t="s">
        <v>580</v>
      </c>
      <c r="B1132" t="s">
        <v>606</v>
      </c>
      <c r="C1132" t="s">
        <v>607</v>
      </c>
      <c r="D1132" t="s">
        <v>94</v>
      </c>
      <c r="E1132" t="s">
        <v>27</v>
      </c>
      <c r="F1132">
        <v>17</v>
      </c>
      <c r="G1132">
        <v>2001</v>
      </c>
      <c r="H1132">
        <v>7</v>
      </c>
      <c r="I1132">
        <v>1</v>
      </c>
      <c r="J1132">
        <v>109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f t="shared" si="34"/>
        <v>0</v>
      </c>
      <c r="S1132" t="s">
        <v>548</v>
      </c>
      <c r="T1132">
        <v>54</v>
      </c>
      <c r="U1132" t="str">
        <f t="shared" si="35"/>
        <v>Ava Kuyken:0</v>
      </c>
    </row>
    <row r="1133" spans="1:21" x14ac:dyDescent="0.2">
      <c r="A1133" t="s">
        <v>216</v>
      </c>
      <c r="B1133" t="s">
        <v>606</v>
      </c>
      <c r="C1133" t="s">
        <v>607</v>
      </c>
      <c r="D1133" t="s">
        <v>42</v>
      </c>
      <c r="E1133" t="s">
        <v>27</v>
      </c>
      <c r="F1133">
        <v>23</v>
      </c>
      <c r="G1133">
        <v>1995</v>
      </c>
      <c r="H1133">
        <v>19</v>
      </c>
      <c r="I1133">
        <v>18</v>
      </c>
      <c r="J1133">
        <v>1519</v>
      </c>
      <c r="K1133">
        <v>7</v>
      </c>
      <c r="L1133">
        <v>12</v>
      </c>
      <c r="M1133">
        <v>7</v>
      </c>
      <c r="N1133">
        <v>0</v>
      </c>
      <c r="O1133">
        <v>0</v>
      </c>
      <c r="P1133">
        <v>2</v>
      </c>
      <c r="Q1133">
        <v>0</v>
      </c>
      <c r="R1133">
        <f t="shared" si="34"/>
        <v>5.1203277009728623E-5</v>
      </c>
      <c r="S1133" t="s">
        <v>548</v>
      </c>
      <c r="T1133">
        <v>54</v>
      </c>
      <c r="U1133" t="str">
        <f t="shared" si="35"/>
        <v>Beth Mead:12</v>
      </c>
    </row>
    <row r="1134" spans="1:21" x14ac:dyDescent="0.2">
      <c r="A1134" t="s">
        <v>477</v>
      </c>
      <c r="B1134" t="s">
        <v>606</v>
      </c>
      <c r="C1134" t="s">
        <v>607</v>
      </c>
      <c r="D1134" t="s">
        <v>50</v>
      </c>
      <c r="E1134" t="s">
        <v>48</v>
      </c>
      <c r="F1134">
        <v>18</v>
      </c>
      <c r="G1134">
        <v>1999</v>
      </c>
      <c r="H1134">
        <v>2</v>
      </c>
      <c r="I1134">
        <v>2</v>
      </c>
      <c r="J1134">
        <v>180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f t="shared" si="34"/>
        <v>0</v>
      </c>
      <c r="S1134" t="s">
        <v>548</v>
      </c>
      <c r="T1134">
        <v>16</v>
      </c>
      <c r="U1134" t="str">
        <f t="shared" si="35"/>
        <v>Bethan Roe:0</v>
      </c>
    </row>
    <row r="1135" spans="1:21" x14ac:dyDescent="0.2">
      <c r="A1135" t="s">
        <v>111</v>
      </c>
      <c r="B1135" t="s">
        <v>606</v>
      </c>
      <c r="C1135" t="s">
        <v>607</v>
      </c>
      <c r="D1135" t="s">
        <v>26</v>
      </c>
      <c r="E1135" t="s">
        <v>20</v>
      </c>
      <c r="F1135">
        <v>24</v>
      </c>
      <c r="G1135">
        <v>1994</v>
      </c>
      <c r="H1135">
        <v>18</v>
      </c>
      <c r="I1135">
        <v>12</v>
      </c>
      <c r="J1135">
        <v>1077</v>
      </c>
      <c r="K1135">
        <v>12</v>
      </c>
      <c r="L1135">
        <v>1</v>
      </c>
      <c r="M1135">
        <v>12</v>
      </c>
      <c r="N1135">
        <v>0</v>
      </c>
      <c r="O1135">
        <v>0</v>
      </c>
      <c r="P1135">
        <v>0</v>
      </c>
      <c r="Q1135">
        <v>0</v>
      </c>
      <c r="R1135">
        <f t="shared" si="34"/>
        <v>1.2380068090374498E-4</v>
      </c>
      <c r="S1135" t="s">
        <v>548</v>
      </c>
      <c r="T1135">
        <v>42</v>
      </c>
      <c r="U1135" t="str">
        <f t="shared" si="35"/>
        <v>Bethany England:1</v>
      </c>
    </row>
    <row r="1136" spans="1:21" x14ac:dyDescent="0.2">
      <c r="A1136" t="s">
        <v>573</v>
      </c>
      <c r="B1136" t="s">
        <v>606</v>
      </c>
      <c r="C1136" t="s">
        <v>607</v>
      </c>
      <c r="D1136" t="s">
        <v>34</v>
      </c>
      <c r="E1136" t="s">
        <v>547</v>
      </c>
      <c r="F1136">
        <v>31</v>
      </c>
      <c r="G1136">
        <v>1987</v>
      </c>
      <c r="H1136">
        <v>17</v>
      </c>
      <c r="I1136">
        <v>16</v>
      </c>
      <c r="J1136">
        <v>1473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f t="shared" si="34"/>
        <v>0</v>
      </c>
      <c r="S1136" t="s">
        <v>548</v>
      </c>
      <c r="T1136">
        <v>-3</v>
      </c>
      <c r="U1136" t="str">
        <f t="shared" si="35"/>
        <v>Bonnie Horwood:0</v>
      </c>
    </row>
    <row r="1137" spans="1:21" x14ac:dyDescent="0.2">
      <c r="A1137" t="s">
        <v>316</v>
      </c>
      <c r="B1137" t="s">
        <v>638</v>
      </c>
      <c r="C1137" t="s">
        <v>639</v>
      </c>
      <c r="D1137" t="s">
        <v>23</v>
      </c>
      <c r="E1137" t="s">
        <v>24</v>
      </c>
      <c r="F1137">
        <v>23</v>
      </c>
      <c r="G1137">
        <v>1995</v>
      </c>
      <c r="H1137">
        <v>20</v>
      </c>
      <c r="I1137">
        <v>16</v>
      </c>
      <c r="J1137">
        <v>1393</v>
      </c>
      <c r="K1137">
        <v>1</v>
      </c>
      <c r="L1137">
        <v>2</v>
      </c>
      <c r="M1137">
        <v>1</v>
      </c>
      <c r="N1137">
        <v>0</v>
      </c>
      <c r="O1137">
        <v>0</v>
      </c>
      <c r="P1137">
        <v>1</v>
      </c>
      <c r="Q1137">
        <v>0</v>
      </c>
      <c r="R1137">
        <f t="shared" si="34"/>
        <v>7.9763898859376248E-6</v>
      </c>
      <c r="S1137" t="s">
        <v>548</v>
      </c>
      <c r="T1137">
        <v>23</v>
      </c>
      <c r="U1137" t="str">
        <f t="shared" si="35"/>
        <v>Brianna Visalli:2</v>
      </c>
    </row>
    <row r="1138" spans="1:21" x14ac:dyDescent="0.2">
      <c r="A1138" t="s">
        <v>356</v>
      </c>
      <c r="B1138" t="s">
        <v>606</v>
      </c>
      <c r="C1138" t="s">
        <v>607</v>
      </c>
      <c r="D1138" t="s">
        <v>42</v>
      </c>
      <c r="E1138" t="s">
        <v>35</v>
      </c>
      <c r="F1138">
        <v>29</v>
      </c>
      <c r="G1138">
        <v>1989</v>
      </c>
      <c r="H1138">
        <v>16</v>
      </c>
      <c r="I1138">
        <v>16</v>
      </c>
      <c r="J1138">
        <v>1378</v>
      </c>
      <c r="K1138">
        <v>7</v>
      </c>
      <c r="L1138">
        <v>2</v>
      </c>
      <c r="M1138">
        <v>7</v>
      </c>
      <c r="N1138">
        <v>0</v>
      </c>
      <c r="O1138">
        <v>0</v>
      </c>
      <c r="P1138">
        <v>0</v>
      </c>
      <c r="Q1138">
        <v>0</v>
      </c>
      <c r="R1138">
        <f t="shared" si="34"/>
        <v>5.6442509272697953E-5</v>
      </c>
      <c r="S1138" t="s">
        <v>548</v>
      </c>
      <c r="T1138">
        <v>30</v>
      </c>
      <c r="U1138" t="str">
        <f t="shared" si="35"/>
        <v>Brooke Chaplen:2</v>
      </c>
    </row>
    <row r="1139" spans="1:21" x14ac:dyDescent="0.2">
      <c r="A1139" t="s">
        <v>155</v>
      </c>
      <c r="B1139" t="s">
        <v>638</v>
      </c>
      <c r="C1139" t="s">
        <v>639</v>
      </c>
      <c r="D1139" t="s">
        <v>50</v>
      </c>
      <c r="E1139" t="s">
        <v>24</v>
      </c>
      <c r="F1139">
        <v>25</v>
      </c>
      <c r="G1139">
        <v>1993</v>
      </c>
      <c r="H1139">
        <v>14</v>
      </c>
      <c r="I1139">
        <v>13</v>
      </c>
      <c r="J1139">
        <v>1208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f t="shared" si="34"/>
        <v>0</v>
      </c>
      <c r="S1139" t="s">
        <v>548</v>
      </c>
      <c r="T1139">
        <v>23</v>
      </c>
      <c r="U1139" t="str">
        <f t="shared" si="35"/>
        <v>Brooke Hendrix:0</v>
      </c>
    </row>
    <row r="1140" spans="1:21" x14ac:dyDescent="0.2">
      <c r="A1140" t="s">
        <v>164</v>
      </c>
      <c r="B1140" t="s">
        <v>606</v>
      </c>
      <c r="C1140" t="s">
        <v>607</v>
      </c>
      <c r="D1140" t="s">
        <v>23</v>
      </c>
      <c r="E1140" t="s">
        <v>426</v>
      </c>
      <c r="F1140">
        <v>21</v>
      </c>
      <c r="G1140">
        <v>1996</v>
      </c>
      <c r="H1140">
        <v>20</v>
      </c>
      <c r="I1140">
        <v>19</v>
      </c>
      <c r="J1140">
        <v>1740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f t="shared" si="34"/>
        <v>0</v>
      </c>
      <c r="S1140" t="s">
        <v>548</v>
      </c>
      <c r="T1140">
        <v>25</v>
      </c>
      <c r="U1140" t="str">
        <f t="shared" si="35"/>
        <v>Carla Humphrey:0</v>
      </c>
    </row>
    <row r="1141" spans="1:21" x14ac:dyDescent="0.2">
      <c r="A1141" t="s">
        <v>487</v>
      </c>
      <c r="B1141" t="s">
        <v>606</v>
      </c>
      <c r="C1141" t="s">
        <v>607</v>
      </c>
      <c r="D1141" t="s">
        <v>40</v>
      </c>
      <c r="E1141" t="s">
        <v>20</v>
      </c>
      <c r="F1141">
        <v>31</v>
      </c>
      <c r="G1141">
        <v>1987</v>
      </c>
      <c r="H1141">
        <v>10</v>
      </c>
      <c r="I1141">
        <v>10</v>
      </c>
      <c r="J1141">
        <v>900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f t="shared" si="34"/>
        <v>0</v>
      </c>
      <c r="S1141" t="s">
        <v>548</v>
      </c>
      <c r="T1141">
        <v>42</v>
      </c>
      <c r="U1141" t="str">
        <f t="shared" si="35"/>
        <v>Carly Telford:0</v>
      </c>
    </row>
    <row r="1142" spans="1:21" x14ac:dyDescent="0.2">
      <c r="A1142" t="s">
        <v>417</v>
      </c>
      <c r="B1142" t="s">
        <v>652</v>
      </c>
      <c r="C1142" t="s">
        <v>653</v>
      </c>
      <c r="D1142" t="s">
        <v>23</v>
      </c>
      <c r="E1142" t="s">
        <v>32</v>
      </c>
      <c r="F1142">
        <v>23</v>
      </c>
      <c r="G1142">
        <v>1995</v>
      </c>
      <c r="H1142">
        <v>18</v>
      </c>
      <c r="I1142">
        <v>16</v>
      </c>
      <c r="J1142">
        <v>1346</v>
      </c>
      <c r="K1142">
        <v>5</v>
      </c>
      <c r="L1142">
        <v>5</v>
      </c>
      <c r="M1142">
        <v>5</v>
      </c>
      <c r="N1142">
        <v>0</v>
      </c>
      <c r="O1142">
        <v>0</v>
      </c>
      <c r="P1142">
        <v>0</v>
      </c>
      <c r="Q1142">
        <v>0</v>
      </c>
      <c r="R1142">
        <f t="shared" si="34"/>
        <v>4.127455836222552E-5</v>
      </c>
      <c r="S1142" t="s">
        <v>548</v>
      </c>
      <c r="T1142">
        <v>47</v>
      </c>
      <c r="U1142" t="str">
        <f t="shared" si="35"/>
        <v>Caroline Weir:5</v>
      </c>
    </row>
    <row r="1143" spans="1:21" x14ac:dyDescent="0.2">
      <c r="A1143" t="s">
        <v>68</v>
      </c>
      <c r="B1143" t="s">
        <v>606</v>
      </c>
      <c r="C1143" t="s">
        <v>607</v>
      </c>
      <c r="D1143" t="s">
        <v>248</v>
      </c>
      <c r="E1143" t="s">
        <v>55</v>
      </c>
      <c r="F1143">
        <v>22</v>
      </c>
      <c r="G1143">
        <v>1995</v>
      </c>
      <c r="H1143">
        <v>17</v>
      </c>
      <c r="I1143">
        <v>9</v>
      </c>
      <c r="J1143">
        <v>948</v>
      </c>
      <c r="K1143">
        <v>3</v>
      </c>
      <c r="L1143">
        <v>0</v>
      </c>
      <c r="M1143">
        <v>3</v>
      </c>
      <c r="N1143">
        <v>0</v>
      </c>
      <c r="O1143">
        <v>0</v>
      </c>
      <c r="P1143">
        <v>0</v>
      </c>
      <c r="Q1143">
        <v>0</v>
      </c>
      <c r="R1143">
        <f t="shared" si="34"/>
        <v>3.5161744022503517E-5</v>
      </c>
      <c r="S1143" t="s">
        <v>548</v>
      </c>
      <c r="T1143">
        <v>12</v>
      </c>
      <c r="U1143" t="str">
        <f t="shared" si="35"/>
        <v>Chantelle Boye-Hlorkah:0</v>
      </c>
    </row>
    <row r="1144" spans="1:21" x14ac:dyDescent="0.2">
      <c r="A1144" t="s">
        <v>562</v>
      </c>
      <c r="B1144" t="s">
        <v>624</v>
      </c>
      <c r="C1144" t="s">
        <v>625</v>
      </c>
      <c r="D1144" t="s">
        <v>23</v>
      </c>
      <c r="E1144" t="s">
        <v>35</v>
      </c>
      <c r="F1144">
        <v>20</v>
      </c>
      <c r="G1144">
        <v>1998</v>
      </c>
      <c r="H1144">
        <v>7</v>
      </c>
      <c r="I1144">
        <v>4</v>
      </c>
      <c r="J1144">
        <v>309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f t="shared" si="34"/>
        <v>0</v>
      </c>
      <c r="S1144" t="s">
        <v>548</v>
      </c>
      <c r="T1144">
        <v>30</v>
      </c>
      <c r="U1144" t="str">
        <f t="shared" si="35"/>
        <v>Charlie Estcourt:0</v>
      </c>
    </row>
    <row r="1145" spans="1:21" x14ac:dyDescent="0.2">
      <c r="A1145" t="s">
        <v>600</v>
      </c>
      <c r="B1145" t="s">
        <v>606</v>
      </c>
      <c r="C1145" t="s">
        <v>607</v>
      </c>
      <c r="D1145" t="s">
        <v>34</v>
      </c>
      <c r="E1145" t="s">
        <v>547</v>
      </c>
      <c r="H1145">
        <v>1</v>
      </c>
      <c r="I1145">
        <v>0</v>
      </c>
      <c r="J1145">
        <v>8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f t="shared" si="34"/>
        <v>0</v>
      </c>
      <c r="S1145" t="s">
        <v>548</v>
      </c>
      <c r="T1145">
        <v>-3</v>
      </c>
      <c r="U1145" t="str">
        <f t="shared" si="35"/>
        <v>Charlie Taylor:0</v>
      </c>
    </row>
    <row r="1146" spans="1:21" x14ac:dyDescent="0.2">
      <c r="A1146" t="s">
        <v>323</v>
      </c>
      <c r="B1146" t="s">
        <v>606</v>
      </c>
      <c r="C1146" t="s">
        <v>607</v>
      </c>
      <c r="D1146" t="s">
        <v>42</v>
      </c>
      <c r="E1146" t="s">
        <v>360</v>
      </c>
      <c r="F1146">
        <v>20</v>
      </c>
      <c r="G1146">
        <v>1998</v>
      </c>
      <c r="H1146">
        <v>20</v>
      </c>
      <c r="I1146">
        <v>17</v>
      </c>
      <c r="J1146">
        <v>1587</v>
      </c>
      <c r="K1146">
        <v>3</v>
      </c>
      <c r="L1146">
        <v>4</v>
      </c>
      <c r="M1146">
        <v>3</v>
      </c>
      <c r="N1146">
        <v>0</v>
      </c>
      <c r="O1146">
        <v>0</v>
      </c>
      <c r="P1146">
        <v>0</v>
      </c>
      <c r="Q1146">
        <v>0</v>
      </c>
      <c r="R1146">
        <f t="shared" si="34"/>
        <v>2.1003990758244067E-5</v>
      </c>
      <c r="S1146" t="s">
        <v>548</v>
      </c>
      <c r="T1146">
        <v>40</v>
      </c>
      <c r="U1146" t="str">
        <f t="shared" si="35"/>
        <v>Charlie Wellings:4</v>
      </c>
    </row>
    <row r="1147" spans="1:21" x14ac:dyDescent="0.2">
      <c r="A1147" t="s">
        <v>558</v>
      </c>
      <c r="B1147" t="s">
        <v>606</v>
      </c>
      <c r="C1147" t="s">
        <v>607</v>
      </c>
      <c r="D1147" t="s">
        <v>50</v>
      </c>
      <c r="E1147" t="s">
        <v>547</v>
      </c>
      <c r="H1147">
        <v>10</v>
      </c>
      <c r="I1147">
        <v>7</v>
      </c>
      <c r="J1147">
        <v>536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f t="shared" si="34"/>
        <v>0</v>
      </c>
      <c r="S1147" t="s">
        <v>548</v>
      </c>
      <c r="T1147">
        <v>-3</v>
      </c>
      <c r="U1147" t="str">
        <f t="shared" si="35"/>
        <v>Charlotte Buxton:0</v>
      </c>
    </row>
    <row r="1148" spans="1:21" x14ac:dyDescent="0.2">
      <c r="A1148" t="s">
        <v>343</v>
      </c>
      <c r="B1148" t="s">
        <v>652</v>
      </c>
      <c r="C1148" t="s">
        <v>653</v>
      </c>
      <c r="D1148" t="s">
        <v>34</v>
      </c>
      <c r="E1148" t="s">
        <v>360</v>
      </c>
      <c r="F1148">
        <v>23</v>
      </c>
      <c r="G1148">
        <v>1995</v>
      </c>
      <c r="H1148">
        <v>19</v>
      </c>
      <c r="I1148">
        <v>16</v>
      </c>
      <c r="J1148">
        <v>1426</v>
      </c>
      <c r="K1148">
        <v>1</v>
      </c>
      <c r="L1148">
        <v>2</v>
      </c>
      <c r="M1148">
        <v>1</v>
      </c>
      <c r="N1148">
        <v>0</v>
      </c>
      <c r="O1148">
        <v>0</v>
      </c>
      <c r="P1148">
        <v>0</v>
      </c>
      <c r="Q1148">
        <v>0</v>
      </c>
      <c r="R1148">
        <f t="shared" si="34"/>
        <v>7.7918030232195723E-6</v>
      </c>
      <c r="S1148" t="s">
        <v>548</v>
      </c>
      <c r="T1148">
        <v>40</v>
      </c>
      <c r="U1148" t="str">
        <f t="shared" si="35"/>
        <v>Chloe Arthur:2</v>
      </c>
    </row>
    <row r="1149" spans="1:21" x14ac:dyDescent="0.2">
      <c r="A1149" t="s">
        <v>177</v>
      </c>
      <c r="B1149" t="s">
        <v>606</v>
      </c>
      <c r="C1149" t="s">
        <v>607</v>
      </c>
      <c r="D1149" t="s">
        <v>23</v>
      </c>
      <c r="E1149" t="s">
        <v>55</v>
      </c>
      <c r="F1149">
        <v>20</v>
      </c>
      <c r="G1149">
        <v>1998</v>
      </c>
      <c r="H1149">
        <v>11</v>
      </c>
      <c r="I1149">
        <v>10</v>
      </c>
      <c r="J1149">
        <v>918</v>
      </c>
      <c r="K1149">
        <v>1</v>
      </c>
      <c r="L1149">
        <v>0</v>
      </c>
      <c r="M1149">
        <v>1</v>
      </c>
      <c r="N1149">
        <v>0</v>
      </c>
      <c r="O1149">
        <v>0</v>
      </c>
      <c r="P1149">
        <v>2</v>
      </c>
      <c r="Q1149">
        <v>0</v>
      </c>
      <c r="R1149">
        <f t="shared" si="34"/>
        <v>1.2103606874848706E-5</v>
      </c>
      <c r="S1149" t="s">
        <v>548</v>
      </c>
      <c r="T1149">
        <v>12</v>
      </c>
      <c r="U1149" t="str">
        <f t="shared" si="35"/>
        <v>Chloe Kelly:0</v>
      </c>
    </row>
    <row r="1150" spans="1:21" x14ac:dyDescent="0.2">
      <c r="A1150" t="s">
        <v>397</v>
      </c>
      <c r="B1150" t="s">
        <v>606</v>
      </c>
      <c r="C1150" t="s">
        <v>607</v>
      </c>
      <c r="D1150" t="s">
        <v>34</v>
      </c>
      <c r="E1150" t="s">
        <v>48</v>
      </c>
      <c r="F1150">
        <v>19</v>
      </c>
      <c r="G1150">
        <v>1998</v>
      </c>
      <c r="H1150">
        <v>16</v>
      </c>
      <c r="I1150">
        <v>14</v>
      </c>
      <c r="J1150">
        <v>1095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f t="shared" si="34"/>
        <v>0</v>
      </c>
      <c r="S1150" t="s">
        <v>548</v>
      </c>
      <c r="T1150">
        <v>16</v>
      </c>
      <c r="U1150" t="str">
        <f t="shared" si="35"/>
        <v>Chloe Peplow:0</v>
      </c>
    </row>
    <row r="1151" spans="1:21" x14ac:dyDescent="0.2">
      <c r="A1151" t="s">
        <v>284</v>
      </c>
      <c r="B1151" t="s">
        <v>640</v>
      </c>
      <c r="C1151" t="s">
        <v>641</v>
      </c>
      <c r="D1151" t="s">
        <v>34</v>
      </c>
      <c r="E1151" t="s">
        <v>24</v>
      </c>
      <c r="F1151">
        <v>30</v>
      </c>
      <c r="G1151">
        <v>1988</v>
      </c>
      <c r="H1151">
        <v>7</v>
      </c>
      <c r="I1151">
        <v>6</v>
      </c>
      <c r="J1151">
        <v>570</v>
      </c>
      <c r="K1151">
        <v>0</v>
      </c>
      <c r="L1151">
        <v>2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f t="shared" si="34"/>
        <v>0</v>
      </c>
      <c r="S1151" t="s">
        <v>548</v>
      </c>
      <c r="T1151">
        <v>23</v>
      </c>
      <c r="U1151" t="str">
        <f t="shared" si="35"/>
        <v>Cho So-hyun:2</v>
      </c>
    </row>
    <row r="1152" spans="1:21" x14ac:dyDescent="0.2">
      <c r="A1152" t="s">
        <v>393</v>
      </c>
      <c r="B1152" t="s">
        <v>652</v>
      </c>
      <c r="C1152" t="s">
        <v>653</v>
      </c>
      <c r="D1152" t="s">
        <v>34</v>
      </c>
      <c r="E1152" t="s">
        <v>65</v>
      </c>
      <c r="F1152">
        <v>28</v>
      </c>
      <c r="G1152">
        <v>1990</v>
      </c>
      <c r="H1152">
        <v>19</v>
      </c>
      <c r="I1152">
        <v>16</v>
      </c>
      <c r="J1152">
        <v>1293</v>
      </c>
      <c r="K1152">
        <v>0</v>
      </c>
      <c r="L1152">
        <v>1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f t="shared" si="34"/>
        <v>0</v>
      </c>
      <c r="S1152" t="s">
        <v>548</v>
      </c>
      <c r="T1152">
        <v>22</v>
      </c>
      <c r="U1152" t="str">
        <f t="shared" si="35"/>
        <v>Christie Murray:1</v>
      </c>
    </row>
    <row r="1153" spans="1:21" x14ac:dyDescent="0.2">
      <c r="A1153" t="s">
        <v>364</v>
      </c>
      <c r="B1153" t="s">
        <v>652</v>
      </c>
      <c r="C1153" t="s">
        <v>653</v>
      </c>
      <c r="D1153" t="s">
        <v>42</v>
      </c>
      <c r="E1153" t="s">
        <v>32</v>
      </c>
      <c r="F1153">
        <v>24</v>
      </c>
      <c r="G1153">
        <v>1994</v>
      </c>
      <c r="H1153">
        <v>14</v>
      </c>
      <c r="I1153">
        <v>7</v>
      </c>
      <c r="J1153">
        <v>647</v>
      </c>
      <c r="K1153">
        <v>4</v>
      </c>
      <c r="L1153">
        <v>3</v>
      </c>
      <c r="M1153">
        <v>4</v>
      </c>
      <c r="N1153">
        <v>0</v>
      </c>
      <c r="O1153">
        <v>0</v>
      </c>
      <c r="P1153">
        <v>0</v>
      </c>
      <c r="Q1153">
        <v>0</v>
      </c>
      <c r="R1153">
        <f t="shared" si="34"/>
        <v>6.8693113515370079E-5</v>
      </c>
      <c r="S1153" t="s">
        <v>548</v>
      </c>
      <c r="T1153">
        <v>47</v>
      </c>
      <c r="U1153" t="str">
        <f t="shared" si="35"/>
        <v>Claire Emslie:3</v>
      </c>
    </row>
    <row r="1154" spans="1:21" x14ac:dyDescent="0.2">
      <c r="A1154" t="s">
        <v>592</v>
      </c>
      <c r="B1154" t="s">
        <v>606</v>
      </c>
      <c r="C1154" t="s">
        <v>607</v>
      </c>
      <c r="D1154" t="s">
        <v>50</v>
      </c>
      <c r="E1154" t="s">
        <v>24</v>
      </c>
      <c r="F1154">
        <v>29</v>
      </c>
      <c r="G1154">
        <v>1989</v>
      </c>
      <c r="H1154">
        <v>13</v>
      </c>
      <c r="I1154">
        <v>11</v>
      </c>
      <c r="J1154">
        <v>1042</v>
      </c>
      <c r="K1154">
        <v>1</v>
      </c>
      <c r="L1154">
        <v>0</v>
      </c>
      <c r="M1154">
        <v>1</v>
      </c>
      <c r="N1154">
        <v>0</v>
      </c>
      <c r="O1154">
        <v>0</v>
      </c>
      <c r="P1154">
        <v>0</v>
      </c>
      <c r="Q1154">
        <v>0</v>
      </c>
      <c r="R1154">
        <f t="shared" si="34"/>
        <v>1.0663254425250586E-5</v>
      </c>
      <c r="S1154" t="s">
        <v>548</v>
      </c>
      <c r="T1154">
        <v>23</v>
      </c>
      <c r="U1154" t="str">
        <f t="shared" si="35"/>
        <v>Claire Rafferty:0</v>
      </c>
    </row>
    <row r="1155" spans="1:21" x14ac:dyDescent="0.2">
      <c r="A1155" t="s">
        <v>318</v>
      </c>
      <c r="B1155" t="s">
        <v>606</v>
      </c>
      <c r="C1155" t="s">
        <v>607</v>
      </c>
      <c r="D1155" t="s">
        <v>26</v>
      </c>
      <c r="E1155" t="s">
        <v>55</v>
      </c>
      <c r="F1155">
        <v>22</v>
      </c>
      <c r="G1155">
        <v>1996</v>
      </c>
      <c r="H1155">
        <v>10</v>
      </c>
      <c r="I1155">
        <v>3</v>
      </c>
      <c r="J1155">
        <v>415</v>
      </c>
      <c r="K1155">
        <v>1</v>
      </c>
      <c r="L1155">
        <v>0</v>
      </c>
      <c r="M1155">
        <v>1</v>
      </c>
      <c r="N1155">
        <v>0</v>
      </c>
      <c r="O1155">
        <v>0</v>
      </c>
      <c r="P1155">
        <v>0</v>
      </c>
      <c r="Q1155">
        <v>0</v>
      </c>
      <c r="R1155">
        <f t="shared" ref="R1155:R1218" si="36">K1155/J1155/90</f>
        <v>2.6773761713520752E-5</v>
      </c>
      <c r="S1155" t="s">
        <v>548</v>
      </c>
      <c r="T1155">
        <v>12</v>
      </c>
      <c r="U1155" t="str">
        <f t="shared" ref="U1155:U1218" si="37">CONCATENATE(A1155, ":", L1155)</f>
        <v>Claudia Walker:0</v>
      </c>
    </row>
    <row r="1156" spans="1:21" x14ac:dyDescent="0.2">
      <c r="A1156" t="s">
        <v>318</v>
      </c>
      <c r="B1156" t="s">
        <v>606</v>
      </c>
      <c r="C1156" t="s">
        <v>607</v>
      </c>
      <c r="D1156" t="s">
        <v>42</v>
      </c>
      <c r="E1156" t="s">
        <v>360</v>
      </c>
      <c r="F1156">
        <v>22</v>
      </c>
      <c r="G1156">
        <v>1996</v>
      </c>
      <c r="H1156">
        <v>7</v>
      </c>
      <c r="I1156">
        <v>3</v>
      </c>
      <c r="J1156">
        <v>285</v>
      </c>
      <c r="K1156">
        <v>0</v>
      </c>
      <c r="L1156">
        <v>1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f t="shared" si="36"/>
        <v>0</v>
      </c>
      <c r="S1156" t="s">
        <v>548</v>
      </c>
      <c r="T1156">
        <v>40</v>
      </c>
      <c r="U1156" t="str">
        <f t="shared" si="37"/>
        <v>Claudia Walker:1</v>
      </c>
    </row>
    <row r="1157" spans="1:21" x14ac:dyDescent="0.2">
      <c r="A1157" t="s">
        <v>271</v>
      </c>
      <c r="B1157" t="s">
        <v>606</v>
      </c>
      <c r="C1157" t="s">
        <v>607</v>
      </c>
      <c r="D1157" t="s">
        <v>34</v>
      </c>
      <c r="E1157" t="s">
        <v>360</v>
      </c>
      <c r="F1157">
        <v>19</v>
      </c>
      <c r="G1157">
        <v>1999</v>
      </c>
      <c r="H1157">
        <v>10</v>
      </c>
      <c r="I1157">
        <v>3</v>
      </c>
      <c r="J1157">
        <v>312</v>
      </c>
      <c r="K1157">
        <v>1</v>
      </c>
      <c r="L1157">
        <v>1</v>
      </c>
      <c r="M1157">
        <v>1</v>
      </c>
      <c r="N1157">
        <v>0</v>
      </c>
      <c r="O1157">
        <v>0</v>
      </c>
      <c r="P1157">
        <v>0</v>
      </c>
      <c r="Q1157">
        <v>0</v>
      </c>
      <c r="R1157">
        <f t="shared" si="36"/>
        <v>3.561253561253561E-5</v>
      </c>
      <c r="S1157" t="s">
        <v>548</v>
      </c>
      <c r="T1157">
        <v>40</v>
      </c>
      <c r="U1157" t="str">
        <f t="shared" si="37"/>
        <v>Connie Scofield:1</v>
      </c>
    </row>
    <row r="1158" spans="1:21" x14ac:dyDescent="0.2">
      <c r="A1158" t="s">
        <v>538</v>
      </c>
      <c r="B1158" t="s">
        <v>606</v>
      </c>
      <c r="C1158" t="s">
        <v>607</v>
      </c>
      <c r="D1158" t="s">
        <v>42</v>
      </c>
      <c r="E1158" t="s">
        <v>65</v>
      </c>
      <c r="F1158">
        <v>27</v>
      </c>
      <c r="G1158">
        <v>1990</v>
      </c>
      <c r="H1158">
        <v>19</v>
      </c>
      <c r="I1158">
        <v>15</v>
      </c>
      <c r="J1158">
        <v>1341</v>
      </c>
      <c r="K1158">
        <v>10</v>
      </c>
      <c r="L1158">
        <v>0</v>
      </c>
      <c r="M1158">
        <v>7</v>
      </c>
      <c r="N1158">
        <v>3</v>
      </c>
      <c r="O1158">
        <v>3</v>
      </c>
      <c r="P1158">
        <v>0</v>
      </c>
      <c r="Q1158">
        <v>0</v>
      </c>
      <c r="R1158">
        <f t="shared" si="36"/>
        <v>8.2856906123125366E-5</v>
      </c>
      <c r="S1158" t="s">
        <v>548</v>
      </c>
      <c r="T1158">
        <v>22</v>
      </c>
      <c r="U1158" t="str">
        <f t="shared" si="37"/>
        <v>Courtney Sweetman-Kirk:0</v>
      </c>
    </row>
    <row r="1159" spans="1:21" x14ac:dyDescent="0.2">
      <c r="A1159" t="s">
        <v>354</v>
      </c>
      <c r="B1159" t="s">
        <v>606</v>
      </c>
      <c r="C1159" t="s">
        <v>607</v>
      </c>
      <c r="D1159" t="s">
        <v>94</v>
      </c>
      <c r="E1159" t="s">
        <v>48</v>
      </c>
      <c r="F1159">
        <v>29</v>
      </c>
      <c r="G1159">
        <v>1988</v>
      </c>
      <c r="H1159">
        <v>19</v>
      </c>
      <c r="I1159">
        <v>17</v>
      </c>
      <c r="J1159">
        <v>1557</v>
      </c>
      <c r="K1159">
        <v>1</v>
      </c>
      <c r="L1159">
        <v>1</v>
      </c>
      <c r="M1159">
        <v>1</v>
      </c>
      <c r="N1159">
        <v>0</v>
      </c>
      <c r="O1159">
        <v>0</v>
      </c>
      <c r="P1159">
        <v>2</v>
      </c>
      <c r="Q1159">
        <v>0</v>
      </c>
      <c r="R1159">
        <f t="shared" si="36"/>
        <v>7.1362306429743805E-6</v>
      </c>
      <c r="S1159" t="s">
        <v>548</v>
      </c>
      <c r="T1159">
        <v>16</v>
      </c>
      <c r="U1159" t="str">
        <f t="shared" si="37"/>
        <v>Danielle Buet:1</v>
      </c>
    </row>
    <row r="1160" spans="1:21" x14ac:dyDescent="0.2">
      <c r="A1160" t="s">
        <v>82</v>
      </c>
      <c r="B1160" t="s">
        <v>606</v>
      </c>
      <c r="C1160" t="s">
        <v>607</v>
      </c>
      <c r="D1160" t="s">
        <v>42</v>
      </c>
      <c r="E1160" t="s">
        <v>27</v>
      </c>
      <c r="F1160">
        <v>25</v>
      </c>
      <c r="G1160">
        <v>1993</v>
      </c>
      <c r="H1160">
        <v>6</v>
      </c>
      <c r="I1160">
        <v>0</v>
      </c>
      <c r="J1160">
        <v>84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f t="shared" si="36"/>
        <v>0</v>
      </c>
      <c r="S1160" t="s">
        <v>548</v>
      </c>
      <c r="T1160">
        <v>54</v>
      </c>
      <c r="U1160" t="str">
        <f t="shared" si="37"/>
        <v>Danielle Carter:0</v>
      </c>
    </row>
    <row r="1161" spans="1:21" x14ac:dyDescent="0.2">
      <c r="A1161" t="s">
        <v>309</v>
      </c>
      <c r="B1161" t="s">
        <v>606</v>
      </c>
      <c r="C1161" t="s">
        <v>607</v>
      </c>
      <c r="D1161" t="s">
        <v>29</v>
      </c>
      <c r="E1161" t="s">
        <v>55</v>
      </c>
      <c r="F1161">
        <v>27</v>
      </c>
      <c r="G1161">
        <v>1991</v>
      </c>
      <c r="H1161">
        <v>14</v>
      </c>
      <c r="I1161">
        <v>13</v>
      </c>
      <c r="J1161">
        <v>1129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f t="shared" si="36"/>
        <v>0</v>
      </c>
      <c r="S1161" t="s">
        <v>548</v>
      </c>
      <c r="T1161">
        <v>12</v>
      </c>
      <c r="U1161" t="str">
        <f t="shared" si="37"/>
        <v>Danielle Turner:0</v>
      </c>
    </row>
    <row r="1162" spans="1:21" x14ac:dyDescent="0.2">
      <c r="A1162" t="s">
        <v>436</v>
      </c>
      <c r="B1162" t="s">
        <v>626</v>
      </c>
      <c r="C1162" t="s">
        <v>627</v>
      </c>
      <c r="D1162" t="s">
        <v>23</v>
      </c>
      <c r="E1162" t="s">
        <v>27</v>
      </c>
      <c r="F1162">
        <v>26</v>
      </c>
      <c r="G1162">
        <v>1991</v>
      </c>
      <c r="H1162">
        <v>19</v>
      </c>
      <c r="I1162">
        <v>18</v>
      </c>
      <c r="J1162">
        <v>1588</v>
      </c>
      <c r="K1162">
        <v>11</v>
      </c>
      <c r="L1162">
        <v>6</v>
      </c>
      <c r="M1162">
        <v>10</v>
      </c>
      <c r="N1162">
        <v>1</v>
      </c>
      <c r="O1162">
        <v>1</v>
      </c>
      <c r="P1162">
        <v>3</v>
      </c>
      <c r="Q1162">
        <v>0</v>
      </c>
      <c r="R1162">
        <f t="shared" si="36"/>
        <v>7.6966134900643724E-5</v>
      </c>
      <c r="S1162" t="s">
        <v>548</v>
      </c>
      <c r="T1162">
        <v>54</v>
      </c>
      <c r="U1162" t="str">
        <f t="shared" si="37"/>
        <v>Daniëlle van de Donk:6</v>
      </c>
    </row>
    <row r="1163" spans="1:21" x14ac:dyDescent="0.2">
      <c r="A1163" t="s">
        <v>389</v>
      </c>
      <c r="B1163" t="s">
        <v>626</v>
      </c>
      <c r="C1163" t="s">
        <v>627</v>
      </c>
      <c r="D1163" t="s">
        <v>50</v>
      </c>
      <c r="E1163" t="s">
        <v>426</v>
      </c>
      <c r="F1163">
        <v>22</v>
      </c>
      <c r="G1163">
        <v>1996</v>
      </c>
      <c r="H1163">
        <v>19</v>
      </c>
      <c r="I1163">
        <v>17</v>
      </c>
      <c r="J1163">
        <v>1553</v>
      </c>
      <c r="K1163">
        <v>2</v>
      </c>
      <c r="L1163">
        <v>0</v>
      </c>
      <c r="M1163">
        <v>2</v>
      </c>
      <c r="N1163">
        <v>0</v>
      </c>
      <c r="O1163">
        <v>0</v>
      </c>
      <c r="P1163">
        <v>1</v>
      </c>
      <c r="Q1163">
        <v>0</v>
      </c>
      <c r="R1163">
        <f t="shared" si="36"/>
        <v>1.4309222293768333E-5</v>
      </c>
      <c r="S1163" t="s">
        <v>548</v>
      </c>
      <c r="T1163">
        <v>25</v>
      </c>
      <c r="U1163" t="str">
        <f t="shared" si="37"/>
        <v>Danique Kerkdijk:0</v>
      </c>
    </row>
    <row r="1164" spans="1:21" x14ac:dyDescent="0.2">
      <c r="A1164" t="s">
        <v>97</v>
      </c>
      <c r="B1164" t="s">
        <v>606</v>
      </c>
      <c r="C1164" t="s">
        <v>607</v>
      </c>
      <c r="D1164" t="s">
        <v>50</v>
      </c>
      <c r="E1164" t="s">
        <v>20</v>
      </c>
      <c r="F1164">
        <v>25</v>
      </c>
      <c r="G1164">
        <v>1993</v>
      </c>
      <c r="H1164">
        <v>5</v>
      </c>
      <c r="I1164">
        <v>2</v>
      </c>
      <c r="J1164">
        <v>228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f t="shared" si="36"/>
        <v>0</v>
      </c>
      <c r="S1164" t="s">
        <v>548</v>
      </c>
      <c r="T1164">
        <v>42</v>
      </c>
      <c r="U1164" t="str">
        <f t="shared" si="37"/>
        <v>Deanna Cooper:0</v>
      </c>
    </row>
    <row r="1165" spans="1:21" x14ac:dyDescent="0.2">
      <c r="A1165" t="s">
        <v>291</v>
      </c>
      <c r="B1165" t="s">
        <v>606</v>
      </c>
      <c r="C1165" t="s">
        <v>607</v>
      </c>
      <c r="D1165" t="s">
        <v>50</v>
      </c>
      <c r="E1165" t="s">
        <v>32</v>
      </c>
      <c r="F1165">
        <v>26</v>
      </c>
      <c r="G1165">
        <v>1991</v>
      </c>
      <c r="H1165">
        <v>11</v>
      </c>
      <c r="I1165">
        <v>11</v>
      </c>
      <c r="J1165">
        <v>914</v>
      </c>
      <c r="K1165">
        <v>1</v>
      </c>
      <c r="L1165">
        <v>1</v>
      </c>
      <c r="M1165">
        <v>1</v>
      </c>
      <c r="N1165">
        <v>0</v>
      </c>
      <c r="O1165">
        <v>0</v>
      </c>
      <c r="P1165">
        <v>0</v>
      </c>
      <c r="Q1165">
        <v>0</v>
      </c>
      <c r="R1165">
        <f t="shared" si="36"/>
        <v>1.2156576707999027E-5</v>
      </c>
      <c r="S1165" t="s">
        <v>548</v>
      </c>
      <c r="T1165">
        <v>47</v>
      </c>
      <c r="U1165" t="str">
        <f t="shared" si="37"/>
        <v>Demi Stokes:1</v>
      </c>
    </row>
    <row r="1166" spans="1:21" x14ac:dyDescent="0.2">
      <c r="A1166" t="s">
        <v>556</v>
      </c>
      <c r="B1166" t="s">
        <v>626</v>
      </c>
      <c r="C1166" t="s">
        <v>627</v>
      </c>
      <c r="D1166" t="s">
        <v>34</v>
      </c>
      <c r="E1166" t="s">
        <v>55</v>
      </c>
      <c r="F1166">
        <v>25</v>
      </c>
      <c r="G1166">
        <v>1993</v>
      </c>
      <c r="H1166">
        <v>12</v>
      </c>
      <c r="I1166">
        <v>7</v>
      </c>
      <c r="J1166">
        <v>616</v>
      </c>
      <c r="K1166">
        <v>0</v>
      </c>
      <c r="L1166">
        <v>1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f t="shared" si="36"/>
        <v>0</v>
      </c>
      <c r="S1166" t="s">
        <v>548</v>
      </c>
      <c r="T1166">
        <v>12</v>
      </c>
      <c r="U1166" t="str">
        <f t="shared" si="37"/>
        <v>Dominique Bruinenberg:1</v>
      </c>
    </row>
    <row r="1167" spans="1:21" x14ac:dyDescent="0.2">
      <c r="A1167" t="s">
        <v>574</v>
      </c>
      <c r="B1167" t="s">
        <v>626</v>
      </c>
      <c r="C1167" t="s">
        <v>627</v>
      </c>
      <c r="D1167" t="s">
        <v>94</v>
      </c>
      <c r="E1167" t="s">
        <v>27</v>
      </c>
      <c r="F1167">
        <v>23</v>
      </c>
      <c r="G1167">
        <v>1995</v>
      </c>
      <c r="H1167">
        <v>19</v>
      </c>
      <c r="I1167">
        <v>19</v>
      </c>
      <c r="J1167">
        <v>1676</v>
      </c>
      <c r="K1167">
        <v>3</v>
      </c>
      <c r="L1167">
        <v>3</v>
      </c>
      <c r="M1167">
        <v>3</v>
      </c>
      <c r="N1167">
        <v>0</v>
      </c>
      <c r="O1167">
        <v>0</v>
      </c>
      <c r="P1167">
        <v>0</v>
      </c>
      <c r="Q1167">
        <v>0</v>
      </c>
      <c r="R1167">
        <f t="shared" si="36"/>
        <v>1.9888623707239461E-5</v>
      </c>
      <c r="S1167" t="s">
        <v>548</v>
      </c>
      <c r="T1167">
        <v>54</v>
      </c>
      <c r="U1167" t="str">
        <f t="shared" si="37"/>
        <v>Dominique Janssen:3</v>
      </c>
    </row>
    <row r="1168" spans="1:21" x14ac:dyDescent="0.2">
      <c r="A1168" t="s">
        <v>285</v>
      </c>
      <c r="B1168" t="s">
        <v>650</v>
      </c>
      <c r="C1168" t="s">
        <v>651</v>
      </c>
      <c r="D1168" t="s">
        <v>34</v>
      </c>
      <c r="E1168" t="s">
        <v>20</v>
      </c>
      <c r="F1168">
        <v>25</v>
      </c>
      <c r="G1168">
        <v>1992</v>
      </c>
      <c r="H1168">
        <v>17</v>
      </c>
      <c r="I1168">
        <v>15</v>
      </c>
      <c r="J1168">
        <v>1206</v>
      </c>
      <c r="K1168">
        <v>1</v>
      </c>
      <c r="L1168">
        <v>3</v>
      </c>
      <c r="M1168">
        <v>1</v>
      </c>
      <c r="N1168">
        <v>0</v>
      </c>
      <c r="O1168">
        <v>0</v>
      </c>
      <c r="P1168">
        <v>3</v>
      </c>
      <c r="Q1168">
        <v>0</v>
      </c>
      <c r="R1168">
        <f t="shared" si="36"/>
        <v>9.2131932927952826E-6</v>
      </c>
      <c r="S1168" t="s">
        <v>548</v>
      </c>
      <c r="T1168">
        <v>42</v>
      </c>
      <c r="U1168" t="str">
        <f t="shared" si="37"/>
        <v>Drew Spence:3</v>
      </c>
    </row>
    <row r="1169" spans="1:21" x14ac:dyDescent="0.2">
      <c r="A1169" t="s">
        <v>569</v>
      </c>
      <c r="B1169" t="s">
        <v>606</v>
      </c>
      <c r="C1169" t="s">
        <v>607</v>
      </c>
      <c r="D1169" t="s">
        <v>50</v>
      </c>
      <c r="E1169" t="s">
        <v>48</v>
      </c>
      <c r="F1169">
        <v>16</v>
      </c>
      <c r="G1169">
        <v>2002</v>
      </c>
      <c r="H1169">
        <v>1</v>
      </c>
      <c r="I1169">
        <v>1</v>
      </c>
      <c r="J1169">
        <v>90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f t="shared" si="36"/>
        <v>0</v>
      </c>
      <c r="S1169" t="s">
        <v>548</v>
      </c>
      <c r="T1169">
        <v>16</v>
      </c>
      <c r="U1169" t="str">
        <f t="shared" si="37"/>
        <v>Eleanor Hack:0</v>
      </c>
    </row>
    <row r="1170" spans="1:21" x14ac:dyDescent="0.2">
      <c r="A1170" t="s">
        <v>518</v>
      </c>
      <c r="B1170" t="s">
        <v>624</v>
      </c>
      <c r="C1170" t="s">
        <v>625</v>
      </c>
      <c r="D1170" t="s">
        <v>26</v>
      </c>
      <c r="E1170" t="s">
        <v>55</v>
      </c>
      <c r="F1170">
        <v>17</v>
      </c>
      <c r="G1170">
        <v>2001</v>
      </c>
      <c r="H1170">
        <v>12</v>
      </c>
      <c r="I1170">
        <v>3</v>
      </c>
      <c r="J1170">
        <v>394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f t="shared" si="36"/>
        <v>0</v>
      </c>
      <c r="S1170" t="s">
        <v>548</v>
      </c>
      <c r="T1170">
        <v>12</v>
      </c>
      <c r="U1170" t="str">
        <f t="shared" si="37"/>
        <v>Elise Hughes:0</v>
      </c>
    </row>
    <row r="1171" spans="1:21" x14ac:dyDescent="0.2">
      <c r="A1171" t="s">
        <v>596</v>
      </c>
      <c r="B1171" t="s">
        <v>606</v>
      </c>
      <c r="C1171" t="s">
        <v>607</v>
      </c>
      <c r="D1171" t="s">
        <v>42</v>
      </c>
      <c r="E1171" t="s">
        <v>426</v>
      </c>
      <c r="F1171">
        <v>18</v>
      </c>
      <c r="G1171">
        <v>2000</v>
      </c>
      <c r="H1171">
        <v>20</v>
      </c>
      <c r="I1171">
        <v>17</v>
      </c>
      <c r="J1171">
        <v>1459</v>
      </c>
      <c r="K1171">
        <v>2</v>
      </c>
      <c r="L1171">
        <v>1</v>
      </c>
      <c r="M1171">
        <v>2</v>
      </c>
      <c r="N1171">
        <v>0</v>
      </c>
      <c r="O1171">
        <v>0</v>
      </c>
      <c r="P1171">
        <v>4</v>
      </c>
      <c r="Q1171">
        <v>0</v>
      </c>
      <c r="R1171">
        <f t="shared" si="36"/>
        <v>1.5231132434696521E-5</v>
      </c>
      <c r="S1171" t="s">
        <v>548</v>
      </c>
      <c r="T1171">
        <v>25</v>
      </c>
      <c r="U1171" t="str">
        <f t="shared" si="37"/>
        <v>Ella Rutherford:1</v>
      </c>
    </row>
    <row r="1172" spans="1:21" x14ac:dyDescent="0.2">
      <c r="A1172" t="s">
        <v>420</v>
      </c>
      <c r="B1172" t="s">
        <v>606</v>
      </c>
      <c r="C1172" t="s">
        <v>607</v>
      </c>
      <c r="D1172" t="s">
        <v>26</v>
      </c>
      <c r="E1172" t="s">
        <v>360</v>
      </c>
      <c r="F1172">
        <v>29</v>
      </c>
      <c r="G1172">
        <v>1989</v>
      </c>
      <c r="H1172">
        <v>8</v>
      </c>
      <c r="I1172">
        <v>7</v>
      </c>
      <c r="J1172">
        <v>647</v>
      </c>
      <c r="K1172">
        <v>6</v>
      </c>
      <c r="L1172">
        <v>1</v>
      </c>
      <c r="M1172">
        <v>6</v>
      </c>
      <c r="N1172">
        <v>0</v>
      </c>
      <c r="O1172">
        <v>0</v>
      </c>
      <c r="P1172">
        <v>0</v>
      </c>
      <c r="Q1172">
        <v>0</v>
      </c>
      <c r="R1172">
        <f t="shared" si="36"/>
        <v>1.0303967027305512E-4</v>
      </c>
      <c r="S1172" t="s">
        <v>548</v>
      </c>
      <c r="T1172">
        <v>40</v>
      </c>
      <c r="U1172" t="str">
        <f t="shared" si="37"/>
        <v>Ellen White:1</v>
      </c>
    </row>
    <row r="1173" spans="1:21" x14ac:dyDescent="0.2">
      <c r="A1173" t="s">
        <v>69</v>
      </c>
      <c r="B1173" t="s">
        <v>606</v>
      </c>
      <c r="C1173" t="s">
        <v>607</v>
      </c>
      <c r="D1173" t="s">
        <v>42</v>
      </c>
      <c r="E1173" t="s">
        <v>48</v>
      </c>
      <c r="F1173">
        <v>19</v>
      </c>
      <c r="G1173">
        <v>1999</v>
      </c>
      <c r="H1173">
        <v>19</v>
      </c>
      <c r="I1173">
        <v>14</v>
      </c>
      <c r="J1173">
        <v>1422</v>
      </c>
      <c r="K1173">
        <v>4</v>
      </c>
      <c r="L1173">
        <v>1</v>
      </c>
      <c r="M1173">
        <v>4</v>
      </c>
      <c r="N1173">
        <v>0</v>
      </c>
      <c r="O1173">
        <v>0</v>
      </c>
      <c r="P1173">
        <v>3</v>
      </c>
      <c r="Q1173">
        <v>0</v>
      </c>
      <c r="R1173">
        <f t="shared" si="36"/>
        <v>3.1254883575558682E-5</v>
      </c>
      <c r="S1173" t="s">
        <v>548</v>
      </c>
      <c r="T1173">
        <v>16</v>
      </c>
      <c r="U1173" t="str">
        <f t="shared" si="37"/>
        <v>Ellie Brazil:1</v>
      </c>
    </row>
    <row r="1174" spans="1:21" x14ac:dyDescent="0.2">
      <c r="A1174" t="s">
        <v>584</v>
      </c>
      <c r="B1174" t="s">
        <v>646</v>
      </c>
      <c r="C1174" t="s">
        <v>647</v>
      </c>
      <c r="D1174" t="s">
        <v>29</v>
      </c>
      <c r="E1174" t="s">
        <v>547</v>
      </c>
      <c r="F1174">
        <v>22</v>
      </c>
      <c r="G1174">
        <v>1996</v>
      </c>
      <c r="H1174">
        <v>20</v>
      </c>
      <c r="I1174">
        <v>19</v>
      </c>
      <c r="J1174">
        <v>1681</v>
      </c>
      <c r="K1174">
        <v>3</v>
      </c>
      <c r="L1174">
        <v>0</v>
      </c>
      <c r="M1174">
        <v>3</v>
      </c>
      <c r="N1174">
        <v>0</v>
      </c>
      <c r="O1174">
        <v>1</v>
      </c>
      <c r="P1174">
        <v>0</v>
      </c>
      <c r="Q1174">
        <v>0</v>
      </c>
      <c r="R1174">
        <f t="shared" si="36"/>
        <v>1.9829466587348801E-5</v>
      </c>
      <c r="S1174" t="s">
        <v>548</v>
      </c>
      <c r="T1174">
        <v>-3</v>
      </c>
      <c r="U1174" t="str">
        <f t="shared" si="37"/>
        <v>Ellie Mason:0</v>
      </c>
    </row>
    <row r="1175" spans="1:21" x14ac:dyDescent="0.2">
      <c r="A1175" t="s">
        <v>264</v>
      </c>
      <c r="B1175" t="s">
        <v>606</v>
      </c>
      <c r="C1175" t="s">
        <v>607</v>
      </c>
      <c r="D1175" t="s">
        <v>40</v>
      </c>
      <c r="E1175" t="s">
        <v>32</v>
      </c>
      <c r="F1175">
        <v>18</v>
      </c>
      <c r="G1175">
        <v>1999</v>
      </c>
      <c r="H1175">
        <v>15</v>
      </c>
      <c r="I1175">
        <v>15</v>
      </c>
      <c r="J1175">
        <v>1350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f t="shared" si="36"/>
        <v>0</v>
      </c>
      <c r="S1175" t="s">
        <v>548</v>
      </c>
      <c r="T1175">
        <v>47</v>
      </c>
      <c r="U1175" t="str">
        <f t="shared" si="37"/>
        <v>Ellie Roebuck:0</v>
      </c>
    </row>
    <row r="1176" spans="1:21" x14ac:dyDescent="0.2">
      <c r="A1176" t="s">
        <v>561</v>
      </c>
      <c r="B1176" t="s">
        <v>606</v>
      </c>
      <c r="C1176" t="s">
        <v>607</v>
      </c>
      <c r="D1176" t="s">
        <v>23</v>
      </c>
      <c r="E1176" t="s">
        <v>547</v>
      </c>
      <c r="H1176">
        <v>18</v>
      </c>
      <c r="I1176">
        <v>8</v>
      </c>
      <c r="J1176">
        <v>820</v>
      </c>
      <c r="K1176">
        <v>1</v>
      </c>
      <c r="L1176">
        <v>0</v>
      </c>
      <c r="M1176">
        <v>1</v>
      </c>
      <c r="N1176">
        <v>0</v>
      </c>
      <c r="O1176">
        <v>0</v>
      </c>
      <c r="P1176">
        <v>0</v>
      </c>
      <c r="Q1176">
        <v>0</v>
      </c>
      <c r="R1176">
        <f t="shared" si="36"/>
        <v>1.3550135501355014E-5</v>
      </c>
      <c r="S1176" t="s">
        <v>548</v>
      </c>
      <c r="T1176">
        <v>-3</v>
      </c>
      <c r="U1176" t="str">
        <f t="shared" si="37"/>
        <v>Emily Donovan:0</v>
      </c>
    </row>
    <row r="1177" spans="1:21" x14ac:dyDescent="0.2">
      <c r="A1177" t="s">
        <v>409</v>
      </c>
      <c r="B1177" t="s">
        <v>606</v>
      </c>
      <c r="C1177" t="s">
        <v>607</v>
      </c>
      <c r="D1177" t="s">
        <v>34</v>
      </c>
      <c r="E1177" t="s">
        <v>48</v>
      </c>
      <c r="F1177">
        <v>28</v>
      </c>
      <c r="G1177">
        <v>1990</v>
      </c>
      <c r="H1177">
        <v>6</v>
      </c>
      <c r="I1177">
        <v>2</v>
      </c>
      <c r="J1177">
        <v>256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f t="shared" si="36"/>
        <v>0</v>
      </c>
      <c r="S1177" t="s">
        <v>548</v>
      </c>
      <c r="T1177">
        <v>16</v>
      </c>
      <c r="U1177" t="str">
        <f t="shared" si="37"/>
        <v>Emily Simpkins:0</v>
      </c>
    </row>
    <row r="1178" spans="1:21" x14ac:dyDescent="0.2">
      <c r="A1178" t="s">
        <v>486</v>
      </c>
      <c r="B1178" t="s">
        <v>606</v>
      </c>
      <c r="C1178" t="s">
        <v>607</v>
      </c>
      <c r="D1178" t="s">
        <v>23</v>
      </c>
      <c r="E1178" t="s">
        <v>547</v>
      </c>
      <c r="F1178">
        <v>18</v>
      </c>
      <c r="G1178">
        <v>2000</v>
      </c>
      <c r="H1178">
        <v>15</v>
      </c>
      <c r="I1178">
        <v>8</v>
      </c>
      <c r="J1178">
        <v>775</v>
      </c>
      <c r="K1178">
        <v>1</v>
      </c>
      <c r="L1178">
        <v>0</v>
      </c>
      <c r="M1178">
        <v>1</v>
      </c>
      <c r="N1178">
        <v>0</v>
      </c>
      <c r="O1178">
        <v>0</v>
      </c>
      <c r="P1178">
        <v>0</v>
      </c>
      <c r="Q1178">
        <v>0</v>
      </c>
      <c r="R1178">
        <f t="shared" si="36"/>
        <v>1.4336917562724014E-5</v>
      </c>
      <c r="S1178" t="s">
        <v>548</v>
      </c>
      <c r="T1178">
        <v>-3</v>
      </c>
      <c r="U1178" t="str">
        <f t="shared" si="37"/>
        <v>Emily Syme:0</v>
      </c>
    </row>
    <row r="1179" spans="1:21" x14ac:dyDescent="0.2">
      <c r="A1179" t="s">
        <v>555</v>
      </c>
      <c r="B1179" t="s">
        <v>652</v>
      </c>
      <c r="C1179" t="s">
        <v>653</v>
      </c>
      <c r="D1179" t="s">
        <v>29</v>
      </c>
      <c r="E1179" t="s">
        <v>55</v>
      </c>
      <c r="F1179">
        <v>24</v>
      </c>
      <c r="G1179">
        <v>1993</v>
      </c>
      <c r="H1179">
        <v>7</v>
      </c>
      <c r="I1179">
        <v>6</v>
      </c>
      <c r="J1179">
        <v>447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f t="shared" si="36"/>
        <v>0</v>
      </c>
      <c r="S1179" t="s">
        <v>548</v>
      </c>
      <c r="T1179">
        <v>12</v>
      </c>
      <c r="U1179" t="str">
        <f t="shared" si="37"/>
        <v>Emma Brownlie:0</v>
      </c>
    </row>
    <row r="1180" spans="1:21" x14ac:dyDescent="0.2">
      <c r="A1180" t="s">
        <v>442</v>
      </c>
      <c r="B1180" t="s">
        <v>606</v>
      </c>
      <c r="C1180" t="s">
        <v>607</v>
      </c>
      <c r="D1180" t="s">
        <v>42</v>
      </c>
      <c r="E1180" t="s">
        <v>360</v>
      </c>
      <c r="F1180">
        <v>26</v>
      </c>
      <c r="G1180">
        <v>1992</v>
      </c>
      <c r="H1180">
        <v>20</v>
      </c>
      <c r="I1180">
        <v>17</v>
      </c>
      <c r="J1180">
        <v>1377</v>
      </c>
      <c r="K1180">
        <v>4</v>
      </c>
      <c r="L1180">
        <v>2</v>
      </c>
      <c r="M1180">
        <v>4</v>
      </c>
      <c r="N1180">
        <v>0</v>
      </c>
      <c r="O1180">
        <v>0</v>
      </c>
      <c r="P1180">
        <v>0</v>
      </c>
      <c r="Q1180">
        <v>0</v>
      </c>
      <c r="R1180">
        <f t="shared" si="36"/>
        <v>3.2276284999596548E-5</v>
      </c>
      <c r="S1180" t="s">
        <v>548</v>
      </c>
      <c r="T1180">
        <v>40</v>
      </c>
      <c r="U1180" t="str">
        <f t="shared" si="37"/>
        <v>Emma Follis:2</v>
      </c>
    </row>
    <row r="1181" spans="1:21" x14ac:dyDescent="0.2">
      <c r="A1181" t="s">
        <v>218</v>
      </c>
      <c r="B1181" t="s">
        <v>652</v>
      </c>
      <c r="C1181" t="s">
        <v>653</v>
      </c>
      <c r="D1181" t="s">
        <v>50</v>
      </c>
      <c r="E1181" t="s">
        <v>27</v>
      </c>
      <c r="F1181">
        <v>25</v>
      </c>
      <c r="G1181">
        <v>1992</v>
      </c>
      <c r="H1181">
        <v>11</v>
      </c>
      <c r="I1181">
        <v>9</v>
      </c>
      <c r="J1181">
        <v>809</v>
      </c>
      <c r="K1181">
        <v>1</v>
      </c>
      <c r="L1181">
        <v>0</v>
      </c>
      <c r="M1181">
        <v>1</v>
      </c>
      <c r="N1181">
        <v>0</v>
      </c>
      <c r="O1181">
        <v>0</v>
      </c>
      <c r="P1181">
        <v>1</v>
      </c>
      <c r="Q1181">
        <v>0</v>
      </c>
      <c r="R1181">
        <f t="shared" si="36"/>
        <v>1.3734377145996427E-5</v>
      </c>
      <c r="S1181" t="s">
        <v>548</v>
      </c>
      <c r="T1181">
        <v>54</v>
      </c>
      <c r="U1181" t="str">
        <f t="shared" si="37"/>
        <v>Emma Mitchell:0</v>
      </c>
    </row>
    <row r="1182" spans="1:21" x14ac:dyDescent="0.2">
      <c r="A1182" t="s">
        <v>553</v>
      </c>
      <c r="B1182" t="s">
        <v>606</v>
      </c>
      <c r="C1182" t="s">
        <v>607</v>
      </c>
      <c r="D1182" t="s">
        <v>42</v>
      </c>
      <c r="E1182" t="s">
        <v>547</v>
      </c>
      <c r="H1182">
        <v>9</v>
      </c>
      <c r="I1182">
        <v>5</v>
      </c>
      <c r="J1182">
        <v>447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f t="shared" si="36"/>
        <v>0</v>
      </c>
      <c r="S1182" t="s">
        <v>548</v>
      </c>
      <c r="T1182">
        <v>-3</v>
      </c>
      <c r="U1182" t="str">
        <f t="shared" si="37"/>
        <v>Erin Bloomfield:0</v>
      </c>
    </row>
    <row r="1183" spans="1:21" x14ac:dyDescent="0.2">
      <c r="A1183" t="s">
        <v>100</v>
      </c>
      <c r="B1183" t="s">
        <v>652</v>
      </c>
      <c r="C1183" t="s">
        <v>653</v>
      </c>
      <c r="D1183" t="s">
        <v>42</v>
      </c>
      <c r="E1183" t="s">
        <v>20</v>
      </c>
      <c r="F1183">
        <v>20</v>
      </c>
      <c r="G1183">
        <v>1998</v>
      </c>
      <c r="H1183">
        <v>19</v>
      </c>
      <c r="I1183">
        <v>17</v>
      </c>
      <c r="J1183">
        <v>1394</v>
      </c>
      <c r="K1183">
        <v>8</v>
      </c>
      <c r="L1183">
        <v>6</v>
      </c>
      <c r="M1183">
        <v>8</v>
      </c>
      <c r="N1183">
        <v>0</v>
      </c>
      <c r="O1183">
        <v>0</v>
      </c>
      <c r="P1183">
        <v>1</v>
      </c>
      <c r="Q1183">
        <v>0</v>
      </c>
      <c r="R1183">
        <f t="shared" si="36"/>
        <v>6.3765343535788301E-5</v>
      </c>
      <c r="S1183" t="s">
        <v>548</v>
      </c>
      <c r="T1183">
        <v>42</v>
      </c>
      <c r="U1183" t="str">
        <f t="shared" si="37"/>
        <v>Erin Cuthbert:6</v>
      </c>
    </row>
    <row r="1184" spans="1:21" x14ac:dyDescent="0.2">
      <c r="A1184" t="s">
        <v>278</v>
      </c>
      <c r="B1184" t="s">
        <v>638</v>
      </c>
      <c r="C1184" t="s">
        <v>639</v>
      </c>
      <c r="D1184" t="s">
        <v>50</v>
      </c>
      <c r="E1184" t="s">
        <v>24</v>
      </c>
      <c r="F1184">
        <v>23</v>
      </c>
      <c r="G1184">
        <v>1994</v>
      </c>
      <c r="H1184">
        <v>17</v>
      </c>
      <c r="I1184">
        <v>16</v>
      </c>
      <c r="J1184">
        <v>1396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1</v>
      </c>
      <c r="Q1184">
        <v>0</v>
      </c>
      <c r="R1184">
        <f t="shared" si="36"/>
        <v>0</v>
      </c>
      <c r="S1184" t="s">
        <v>548</v>
      </c>
      <c r="T1184">
        <v>23</v>
      </c>
      <c r="U1184" t="str">
        <f t="shared" si="37"/>
        <v>Erin Simon:0</v>
      </c>
    </row>
    <row r="1185" spans="1:21" x14ac:dyDescent="0.2">
      <c r="A1185" t="s">
        <v>222</v>
      </c>
      <c r="B1185" t="s">
        <v>606</v>
      </c>
      <c r="C1185" t="s">
        <v>607</v>
      </c>
      <c r="D1185" t="s">
        <v>50</v>
      </c>
      <c r="E1185" t="s">
        <v>32</v>
      </c>
      <c r="F1185">
        <v>17</v>
      </c>
      <c r="G1185">
        <v>2000</v>
      </c>
      <c r="H1185">
        <v>6</v>
      </c>
      <c r="I1185">
        <v>5</v>
      </c>
      <c r="J1185">
        <v>475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f t="shared" si="36"/>
        <v>0</v>
      </c>
      <c r="S1185" t="s">
        <v>548</v>
      </c>
      <c r="T1185">
        <v>47</v>
      </c>
      <c r="U1185" t="str">
        <f t="shared" si="37"/>
        <v>Esme Morgan:0</v>
      </c>
    </row>
    <row r="1186" spans="1:21" x14ac:dyDescent="0.2">
      <c r="A1186" t="s">
        <v>373</v>
      </c>
      <c r="B1186" t="s">
        <v>626</v>
      </c>
      <c r="C1186" t="s">
        <v>627</v>
      </c>
      <c r="D1186" t="s">
        <v>248</v>
      </c>
      <c r="E1186" t="s">
        <v>24</v>
      </c>
      <c r="F1186">
        <v>20</v>
      </c>
      <c r="G1186">
        <v>1997</v>
      </c>
      <c r="H1186">
        <v>10</v>
      </c>
      <c r="I1186">
        <v>7</v>
      </c>
      <c r="J1186">
        <v>644</v>
      </c>
      <c r="K1186">
        <v>1</v>
      </c>
      <c r="L1186">
        <v>0</v>
      </c>
      <c r="M1186">
        <v>1</v>
      </c>
      <c r="N1186">
        <v>0</v>
      </c>
      <c r="O1186">
        <v>0</v>
      </c>
      <c r="P1186">
        <v>2</v>
      </c>
      <c r="Q1186">
        <v>0</v>
      </c>
      <c r="R1186">
        <f t="shared" si="36"/>
        <v>1.7253278122843338E-5</v>
      </c>
      <c r="S1186" t="s">
        <v>548</v>
      </c>
      <c r="T1186">
        <v>23</v>
      </c>
      <c r="U1186" t="str">
        <f t="shared" si="37"/>
        <v>Esmee de Graaf:0</v>
      </c>
    </row>
    <row r="1187" spans="1:21" x14ac:dyDescent="0.2">
      <c r="A1187" t="s">
        <v>492</v>
      </c>
      <c r="B1187" t="s">
        <v>606</v>
      </c>
      <c r="C1187" t="s">
        <v>607</v>
      </c>
      <c r="D1187" t="s">
        <v>23</v>
      </c>
      <c r="E1187" t="s">
        <v>35</v>
      </c>
      <c r="F1187">
        <v>34</v>
      </c>
      <c r="G1187">
        <v>1984</v>
      </c>
      <c r="H1187">
        <v>20</v>
      </c>
      <c r="I1187">
        <v>20</v>
      </c>
      <c r="J1187">
        <v>1725</v>
      </c>
      <c r="K1187">
        <v>11</v>
      </c>
      <c r="L1187">
        <v>3</v>
      </c>
      <c r="M1187">
        <v>9</v>
      </c>
      <c r="N1187">
        <v>2</v>
      </c>
      <c r="O1187">
        <v>3</v>
      </c>
      <c r="P1187">
        <v>1</v>
      </c>
      <c r="Q1187">
        <v>0</v>
      </c>
      <c r="R1187">
        <f t="shared" si="36"/>
        <v>7.0853462157809981E-5</v>
      </c>
      <c r="S1187" t="s">
        <v>548</v>
      </c>
      <c r="T1187">
        <v>30</v>
      </c>
      <c r="U1187" t="str">
        <f t="shared" si="37"/>
        <v>Fara Williams:3</v>
      </c>
    </row>
    <row r="1188" spans="1:21" x14ac:dyDescent="0.2">
      <c r="A1188" t="s">
        <v>74</v>
      </c>
      <c r="B1188" t="s">
        <v>606</v>
      </c>
      <c r="C1188" t="s">
        <v>607</v>
      </c>
      <c r="D1188" t="s">
        <v>29</v>
      </c>
      <c r="E1188" t="s">
        <v>55</v>
      </c>
      <c r="F1188">
        <v>21</v>
      </c>
      <c r="G1188">
        <v>1997</v>
      </c>
      <c r="H1188">
        <v>8</v>
      </c>
      <c r="I1188">
        <v>6</v>
      </c>
      <c r="J1188">
        <v>534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f t="shared" si="36"/>
        <v>0</v>
      </c>
      <c r="S1188" t="s">
        <v>548</v>
      </c>
      <c r="T1188">
        <v>12</v>
      </c>
      <c r="U1188" t="str">
        <f t="shared" si="37"/>
        <v>Faye Bryson:0</v>
      </c>
    </row>
    <row r="1189" spans="1:21" x14ac:dyDescent="0.2">
      <c r="A1189" t="s">
        <v>372</v>
      </c>
      <c r="B1189" t="s">
        <v>606</v>
      </c>
      <c r="C1189" t="s">
        <v>607</v>
      </c>
      <c r="D1189" t="s">
        <v>50</v>
      </c>
      <c r="E1189" t="s">
        <v>48</v>
      </c>
      <c r="F1189">
        <v>24</v>
      </c>
      <c r="G1189">
        <v>1994</v>
      </c>
      <c r="H1189">
        <v>17</v>
      </c>
      <c r="I1189">
        <v>16</v>
      </c>
      <c r="J1189">
        <v>1409</v>
      </c>
      <c r="K1189">
        <v>0</v>
      </c>
      <c r="L1189">
        <v>1</v>
      </c>
      <c r="M1189">
        <v>0</v>
      </c>
      <c r="N1189">
        <v>0</v>
      </c>
      <c r="O1189">
        <v>0</v>
      </c>
      <c r="P1189">
        <v>1</v>
      </c>
      <c r="Q1189">
        <v>0</v>
      </c>
      <c r="R1189">
        <f t="shared" si="36"/>
        <v>0</v>
      </c>
      <c r="S1189" t="s">
        <v>548</v>
      </c>
      <c r="T1189">
        <v>16</v>
      </c>
      <c r="U1189" t="str">
        <f t="shared" si="37"/>
        <v>Felicity Gibbons:1</v>
      </c>
    </row>
    <row r="1190" spans="1:21" x14ac:dyDescent="0.2">
      <c r="A1190" t="s">
        <v>543</v>
      </c>
      <c r="B1190" t="s">
        <v>606</v>
      </c>
      <c r="C1190" t="s">
        <v>607</v>
      </c>
      <c r="D1190" t="s">
        <v>29</v>
      </c>
      <c r="E1190" t="s">
        <v>48</v>
      </c>
      <c r="F1190">
        <v>29</v>
      </c>
      <c r="G1190">
        <v>1988</v>
      </c>
      <c r="H1190">
        <v>7</v>
      </c>
      <c r="I1190">
        <v>7</v>
      </c>
      <c r="J1190">
        <v>613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f t="shared" si="36"/>
        <v>0</v>
      </c>
      <c r="S1190" t="s">
        <v>548</v>
      </c>
      <c r="T1190">
        <v>16</v>
      </c>
      <c r="U1190" t="str">
        <f t="shared" si="37"/>
        <v>Fern Whelan:0</v>
      </c>
    </row>
    <row r="1191" spans="1:21" x14ac:dyDescent="0.2">
      <c r="A1191" t="s">
        <v>425</v>
      </c>
      <c r="B1191" t="s">
        <v>606</v>
      </c>
      <c r="C1191" t="s">
        <v>607</v>
      </c>
      <c r="D1191" t="s">
        <v>50</v>
      </c>
      <c r="E1191" t="s">
        <v>426</v>
      </c>
      <c r="F1191">
        <v>18</v>
      </c>
      <c r="G1191">
        <v>1999</v>
      </c>
      <c r="H1191">
        <v>2</v>
      </c>
      <c r="I1191">
        <v>2</v>
      </c>
      <c r="J1191">
        <v>135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f t="shared" si="36"/>
        <v>0</v>
      </c>
      <c r="S1191" t="s">
        <v>548</v>
      </c>
      <c r="T1191">
        <v>25</v>
      </c>
      <c r="U1191" t="str">
        <f t="shared" si="37"/>
        <v>Flo Allen:0</v>
      </c>
    </row>
    <row r="1192" spans="1:21" x14ac:dyDescent="0.2">
      <c r="A1192" t="s">
        <v>182</v>
      </c>
      <c r="B1192" t="s">
        <v>606</v>
      </c>
      <c r="C1192" t="s">
        <v>607</v>
      </c>
      <c r="D1192" t="s">
        <v>42</v>
      </c>
      <c r="E1192" t="s">
        <v>20</v>
      </c>
      <c r="F1192">
        <v>25</v>
      </c>
      <c r="G1192">
        <v>1993</v>
      </c>
      <c r="H1192">
        <v>16</v>
      </c>
      <c r="I1192">
        <v>9</v>
      </c>
      <c r="J1192">
        <v>967</v>
      </c>
      <c r="K1192">
        <v>9</v>
      </c>
      <c r="L1192">
        <v>0</v>
      </c>
      <c r="M1192">
        <v>7</v>
      </c>
      <c r="N1192">
        <v>2</v>
      </c>
      <c r="O1192">
        <v>2</v>
      </c>
      <c r="P1192">
        <v>0</v>
      </c>
      <c r="Q1192">
        <v>0</v>
      </c>
      <c r="R1192">
        <f t="shared" si="36"/>
        <v>1.0341261633919338E-4</v>
      </c>
      <c r="S1192" t="s">
        <v>548</v>
      </c>
      <c r="T1192">
        <v>42</v>
      </c>
      <c r="U1192" t="str">
        <f t="shared" si="37"/>
        <v>Fran Kirby:0</v>
      </c>
    </row>
    <row r="1193" spans="1:21" x14ac:dyDescent="0.2">
      <c r="A1193" t="s">
        <v>521</v>
      </c>
      <c r="B1193" t="s">
        <v>606</v>
      </c>
      <c r="C1193" t="s">
        <v>607</v>
      </c>
      <c r="D1193" t="s">
        <v>40</v>
      </c>
      <c r="E1193" t="s">
        <v>65</v>
      </c>
      <c r="F1193">
        <v>20</v>
      </c>
      <c r="G1193">
        <v>1998</v>
      </c>
      <c r="H1193">
        <v>6</v>
      </c>
      <c r="I1193">
        <v>6</v>
      </c>
      <c r="J1193">
        <v>540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f t="shared" si="36"/>
        <v>0</v>
      </c>
      <c r="S1193" t="s">
        <v>548</v>
      </c>
      <c r="T1193">
        <v>22</v>
      </c>
      <c r="U1193" t="str">
        <f t="shared" si="37"/>
        <v>Frances Kitching:0</v>
      </c>
    </row>
    <row r="1194" spans="1:21" x14ac:dyDescent="0.2">
      <c r="A1194" t="s">
        <v>504</v>
      </c>
      <c r="B1194" t="s">
        <v>652</v>
      </c>
      <c r="C1194" t="s">
        <v>653</v>
      </c>
      <c r="D1194" t="s">
        <v>29</v>
      </c>
      <c r="E1194" t="s">
        <v>426</v>
      </c>
      <c r="F1194">
        <v>30</v>
      </c>
      <c r="G1194">
        <v>1987</v>
      </c>
      <c r="H1194">
        <v>20</v>
      </c>
      <c r="I1194">
        <v>20</v>
      </c>
      <c r="J1194">
        <v>1714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1</v>
      </c>
      <c r="Q1194">
        <v>0</v>
      </c>
      <c r="R1194">
        <f t="shared" si="36"/>
        <v>0</v>
      </c>
      <c r="S1194" t="s">
        <v>548</v>
      </c>
      <c r="T1194">
        <v>25</v>
      </c>
      <c r="U1194" t="str">
        <f t="shared" si="37"/>
        <v>Frankie Brown:0</v>
      </c>
    </row>
    <row r="1195" spans="1:21" x14ac:dyDescent="0.2">
      <c r="A1195" t="s">
        <v>131</v>
      </c>
      <c r="B1195" t="s">
        <v>606</v>
      </c>
      <c r="C1195" t="s">
        <v>607</v>
      </c>
      <c r="D1195" t="s">
        <v>50</v>
      </c>
      <c r="E1195" t="s">
        <v>55</v>
      </c>
      <c r="F1195">
        <v>21</v>
      </c>
      <c r="G1195">
        <v>1997</v>
      </c>
      <c r="H1195">
        <v>16</v>
      </c>
      <c r="I1195">
        <v>16</v>
      </c>
      <c r="J1195">
        <v>1370</v>
      </c>
      <c r="K1195">
        <v>1</v>
      </c>
      <c r="L1195">
        <v>0</v>
      </c>
      <c r="M1195">
        <v>1</v>
      </c>
      <c r="N1195">
        <v>0</v>
      </c>
      <c r="O1195">
        <v>0</v>
      </c>
      <c r="P1195">
        <v>0</v>
      </c>
      <c r="Q1195">
        <v>0</v>
      </c>
      <c r="R1195">
        <f t="shared" si="36"/>
        <v>8.1103000811030008E-6</v>
      </c>
      <c r="S1195" t="s">
        <v>548</v>
      </c>
      <c r="T1195">
        <v>12</v>
      </c>
      <c r="U1195" t="str">
        <f t="shared" si="37"/>
        <v>Gabrielle George:0</v>
      </c>
    </row>
    <row r="1196" spans="1:21" x14ac:dyDescent="0.2">
      <c r="A1196" t="s">
        <v>66</v>
      </c>
      <c r="B1196" t="s">
        <v>606</v>
      </c>
      <c r="C1196" t="s">
        <v>607</v>
      </c>
      <c r="D1196" t="s">
        <v>50</v>
      </c>
      <c r="E1196" t="s">
        <v>32</v>
      </c>
      <c r="F1196">
        <v>27</v>
      </c>
      <c r="G1196">
        <v>1991</v>
      </c>
      <c r="H1196">
        <v>17</v>
      </c>
      <c r="I1196">
        <v>14</v>
      </c>
      <c r="J1196">
        <v>1308</v>
      </c>
      <c r="K1196">
        <v>1</v>
      </c>
      <c r="L1196">
        <v>0</v>
      </c>
      <c r="M1196">
        <v>1</v>
      </c>
      <c r="N1196">
        <v>0</v>
      </c>
      <c r="O1196">
        <v>0</v>
      </c>
      <c r="P1196">
        <v>2</v>
      </c>
      <c r="Q1196">
        <v>0</v>
      </c>
      <c r="R1196">
        <f t="shared" si="36"/>
        <v>8.4947332653754669E-6</v>
      </c>
      <c r="S1196" t="s">
        <v>548</v>
      </c>
      <c r="T1196">
        <v>47</v>
      </c>
      <c r="U1196" t="str">
        <f t="shared" si="37"/>
        <v>Gemma Bonner:0</v>
      </c>
    </row>
    <row r="1197" spans="1:21" x14ac:dyDescent="0.2">
      <c r="A1197" t="s">
        <v>361</v>
      </c>
      <c r="B1197" t="s">
        <v>606</v>
      </c>
      <c r="C1197" t="s">
        <v>607</v>
      </c>
      <c r="D1197" t="s">
        <v>42</v>
      </c>
      <c r="E1197" t="s">
        <v>35</v>
      </c>
      <c r="F1197">
        <v>31</v>
      </c>
      <c r="G1197">
        <v>1987</v>
      </c>
      <c r="H1197">
        <v>14</v>
      </c>
      <c r="I1197">
        <v>8</v>
      </c>
      <c r="J1197">
        <v>835</v>
      </c>
      <c r="K1197">
        <v>2</v>
      </c>
      <c r="L1197">
        <v>4</v>
      </c>
      <c r="M1197">
        <v>2</v>
      </c>
      <c r="N1197">
        <v>0</v>
      </c>
      <c r="O1197">
        <v>0</v>
      </c>
      <c r="P1197">
        <v>1</v>
      </c>
      <c r="Q1197">
        <v>0</v>
      </c>
      <c r="R1197">
        <f t="shared" si="36"/>
        <v>2.6613439787092483E-5</v>
      </c>
      <c r="S1197" t="s">
        <v>548</v>
      </c>
      <c r="T1197">
        <v>30</v>
      </c>
      <c r="U1197" t="str">
        <f t="shared" si="37"/>
        <v>Gemma Davison:4</v>
      </c>
    </row>
    <row r="1198" spans="1:21" x14ac:dyDescent="0.2">
      <c r="A1198" t="s">
        <v>113</v>
      </c>
      <c r="B1198" t="s">
        <v>624</v>
      </c>
      <c r="C1198" t="s">
        <v>625</v>
      </c>
      <c r="D1198" t="s">
        <v>50</v>
      </c>
      <c r="E1198" t="s">
        <v>426</v>
      </c>
      <c r="F1198">
        <v>21</v>
      </c>
      <c r="G1198">
        <v>1996</v>
      </c>
      <c r="H1198">
        <v>19</v>
      </c>
      <c r="I1198">
        <v>17</v>
      </c>
      <c r="J1198">
        <v>1536</v>
      </c>
      <c r="K1198">
        <v>1</v>
      </c>
      <c r="L1198">
        <v>0</v>
      </c>
      <c r="M1198">
        <v>1</v>
      </c>
      <c r="N1198">
        <v>0</v>
      </c>
      <c r="O1198">
        <v>0</v>
      </c>
      <c r="P1198">
        <v>2</v>
      </c>
      <c r="Q1198">
        <v>0</v>
      </c>
      <c r="R1198">
        <f t="shared" si="36"/>
        <v>7.2337962962962957E-6</v>
      </c>
      <c r="S1198" t="s">
        <v>548</v>
      </c>
      <c r="T1198">
        <v>25</v>
      </c>
      <c r="U1198" t="str">
        <f t="shared" si="37"/>
        <v>Gemma Evans:0</v>
      </c>
    </row>
    <row r="1199" spans="1:21" x14ac:dyDescent="0.2">
      <c r="A1199" t="s">
        <v>72</v>
      </c>
      <c r="B1199" t="s">
        <v>606</v>
      </c>
      <c r="C1199" t="s">
        <v>607</v>
      </c>
      <c r="D1199" t="s">
        <v>50</v>
      </c>
      <c r="E1199" t="s">
        <v>55</v>
      </c>
      <c r="F1199">
        <v>22</v>
      </c>
      <c r="G1199">
        <v>1996</v>
      </c>
      <c r="H1199">
        <v>17</v>
      </c>
      <c r="I1199">
        <v>15</v>
      </c>
      <c r="J1199">
        <v>1455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f t="shared" si="36"/>
        <v>0</v>
      </c>
      <c r="S1199" t="s">
        <v>548</v>
      </c>
      <c r="T1199">
        <v>12</v>
      </c>
      <c r="U1199" t="str">
        <f t="shared" si="37"/>
        <v>Georgia Brougham:0</v>
      </c>
    </row>
    <row r="1200" spans="1:21" x14ac:dyDescent="0.2">
      <c r="A1200" t="s">
        <v>563</v>
      </c>
      <c r="B1200" t="s">
        <v>624</v>
      </c>
      <c r="C1200" t="s">
        <v>625</v>
      </c>
      <c r="D1200" t="s">
        <v>34</v>
      </c>
      <c r="E1200" t="s">
        <v>547</v>
      </c>
      <c r="F1200">
        <v>22</v>
      </c>
      <c r="G1200">
        <v>1995</v>
      </c>
      <c r="H1200">
        <v>19</v>
      </c>
      <c r="I1200">
        <v>16</v>
      </c>
      <c r="J1200">
        <v>1402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2</v>
      </c>
      <c r="Q1200">
        <v>0</v>
      </c>
      <c r="R1200">
        <f t="shared" si="36"/>
        <v>0</v>
      </c>
      <c r="S1200" t="s">
        <v>548</v>
      </c>
      <c r="T1200">
        <v>-3</v>
      </c>
      <c r="U1200" t="str">
        <f t="shared" si="37"/>
        <v>Georgia Evans:0</v>
      </c>
    </row>
    <row r="1201" spans="1:21" x14ac:dyDescent="0.2">
      <c r="A1201" t="s">
        <v>412</v>
      </c>
      <c r="B1201" t="s">
        <v>606</v>
      </c>
      <c r="C1201" t="s">
        <v>607</v>
      </c>
      <c r="D1201" t="s">
        <v>23</v>
      </c>
      <c r="E1201" t="s">
        <v>32</v>
      </c>
      <c r="F1201">
        <v>19</v>
      </c>
      <c r="G1201">
        <v>1999</v>
      </c>
      <c r="H1201">
        <v>19</v>
      </c>
      <c r="I1201">
        <v>13</v>
      </c>
      <c r="J1201">
        <v>1314</v>
      </c>
      <c r="K1201">
        <v>11</v>
      </c>
      <c r="L1201">
        <v>3</v>
      </c>
      <c r="M1201">
        <v>11</v>
      </c>
      <c r="N1201">
        <v>0</v>
      </c>
      <c r="O1201">
        <v>0</v>
      </c>
      <c r="P1201">
        <v>4</v>
      </c>
      <c r="Q1201">
        <v>0</v>
      </c>
      <c r="R1201">
        <f t="shared" si="36"/>
        <v>9.3015389819042785E-5</v>
      </c>
      <c r="S1201" t="s">
        <v>548</v>
      </c>
      <c r="T1201">
        <v>47</v>
      </c>
      <c r="U1201" t="str">
        <f t="shared" si="37"/>
        <v>Georgia Stanway:3</v>
      </c>
    </row>
    <row r="1202" spans="1:21" x14ac:dyDescent="0.2">
      <c r="A1202" t="s">
        <v>120</v>
      </c>
      <c r="B1202" t="s">
        <v>606</v>
      </c>
      <c r="C1202" t="s">
        <v>607</v>
      </c>
      <c r="D1202" t="s">
        <v>50</v>
      </c>
      <c r="E1202" t="s">
        <v>24</v>
      </c>
      <c r="F1202">
        <v>26</v>
      </c>
      <c r="G1202">
        <v>1991</v>
      </c>
      <c r="H1202">
        <v>19</v>
      </c>
      <c r="I1202">
        <v>19</v>
      </c>
      <c r="J1202">
        <v>1710</v>
      </c>
      <c r="K1202">
        <v>1</v>
      </c>
      <c r="L1202">
        <v>0</v>
      </c>
      <c r="M1202">
        <v>1</v>
      </c>
      <c r="N1202">
        <v>0</v>
      </c>
      <c r="O1202">
        <v>0</v>
      </c>
      <c r="P1202">
        <v>2</v>
      </c>
      <c r="Q1202">
        <v>0</v>
      </c>
      <c r="R1202">
        <f t="shared" si="36"/>
        <v>6.4977257959714097E-6</v>
      </c>
      <c r="S1202" t="s">
        <v>548</v>
      </c>
      <c r="T1202">
        <v>23</v>
      </c>
      <c r="U1202" t="str">
        <f t="shared" si="37"/>
        <v>Gilly Flaherty:0</v>
      </c>
    </row>
    <row r="1203" spans="1:21" x14ac:dyDescent="0.2">
      <c r="A1203" t="s">
        <v>220</v>
      </c>
      <c r="B1203" t="s">
        <v>632</v>
      </c>
      <c r="C1203" t="s">
        <v>633</v>
      </c>
      <c r="D1203" t="s">
        <v>40</v>
      </c>
      <c r="E1203" t="s">
        <v>35</v>
      </c>
      <c r="F1203">
        <v>25</v>
      </c>
      <c r="G1203">
        <v>1993</v>
      </c>
      <c r="H1203">
        <v>20</v>
      </c>
      <c r="I1203">
        <v>20</v>
      </c>
      <c r="J1203">
        <v>1800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1</v>
      </c>
      <c r="Q1203">
        <v>0</v>
      </c>
      <c r="R1203">
        <f t="shared" si="36"/>
        <v>0</v>
      </c>
      <c r="S1203" t="s">
        <v>548</v>
      </c>
      <c r="T1203">
        <v>30</v>
      </c>
      <c r="U1203" t="str">
        <f t="shared" si="37"/>
        <v>Grace Moloney:0</v>
      </c>
    </row>
    <row r="1204" spans="1:21" x14ac:dyDescent="0.2">
      <c r="A1204" t="s">
        <v>63</v>
      </c>
      <c r="B1204" t="s">
        <v>606</v>
      </c>
      <c r="C1204" t="s">
        <v>607</v>
      </c>
      <c r="D1204" t="s">
        <v>19</v>
      </c>
      <c r="E1204" t="s">
        <v>20</v>
      </c>
      <c r="F1204">
        <v>24</v>
      </c>
      <c r="G1204">
        <v>1994</v>
      </c>
      <c r="H1204">
        <v>17</v>
      </c>
      <c r="I1204">
        <v>13</v>
      </c>
      <c r="J1204">
        <v>1197</v>
      </c>
      <c r="K1204">
        <v>1</v>
      </c>
      <c r="L1204">
        <v>4</v>
      </c>
      <c r="M1204">
        <v>1</v>
      </c>
      <c r="N1204">
        <v>0</v>
      </c>
      <c r="O1204">
        <v>0</v>
      </c>
      <c r="P1204">
        <v>0</v>
      </c>
      <c r="Q1204">
        <v>0</v>
      </c>
      <c r="R1204">
        <f t="shared" si="36"/>
        <v>9.2824654228162998E-6</v>
      </c>
      <c r="S1204" t="s">
        <v>548</v>
      </c>
      <c r="T1204">
        <v>42</v>
      </c>
      <c r="U1204" t="str">
        <f t="shared" si="37"/>
        <v>Hannah Blundell:4</v>
      </c>
    </row>
    <row r="1205" spans="1:21" x14ac:dyDescent="0.2">
      <c r="A1205" t="s">
        <v>78</v>
      </c>
      <c r="B1205" t="s">
        <v>624</v>
      </c>
      <c r="C1205" t="s">
        <v>625</v>
      </c>
      <c r="D1205" t="s">
        <v>42</v>
      </c>
      <c r="E1205" t="s">
        <v>55</v>
      </c>
      <c r="F1205">
        <v>19</v>
      </c>
      <c r="G1205">
        <v>1999</v>
      </c>
      <c r="H1205">
        <v>13</v>
      </c>
      <c r="I1205">
        <v>7</v>
      </c>
      <c r="J1205">
        <v>610</v>
      </c>
      <c r="K1205">
        <v>2</v>
      </c>
      <c r="L1205">
        <v>0</v>
      </c>
      <c r="M1205">
        <v>2</v>
      </c>
      <c r="N1205">
        <v>0</v>
      </c>
      <c r="O1205">
        <v>0</v>
      </c>
      <c r="P1205">
        <v>2</v>
      </c>
      <c r="Q1205">
        <v>0</v>
      </c>
      <c r="R1205">
        <f t="shared" si="36"/>
        <v>3.6429872495446266E-5</v>
      </c>
      <c r="S1205" t="s">
        <v>548</v>
      </c>
      <c r="T1205">
        <v>12</v>
      </c>
      <c r="U1205" t="str">
        <f t="shared" si="37"/>
        <v>Hannah Cain:0</v>
      </c>
    </row>
    <row r="1206" spans="1:21" x14ac:dyDescent="0.2">
      <c r="A1206" t="s">
        <v>146</v>
      </c>
      <c r="B1206" t="s">
        <v>606</v>
      </c>
      <c r="C1206" t="s">
        <v>607</v>
      </c>
      <c r="D1206" t="s">
        <v>40</v>
      </c>
      <c r="E1206" t="s">
        <v>360</v>
      </c>
      <c r="F1206">
        <v>17</v>
      </c>
      <c r="G1206">
        <v>2000</v>
      </c>
      <c r="H1206">
        <v>12</v>
      </c>
      <c r="I1206">
        <v>12</v>
      </c>
      <c r="J1206">
        <v>1080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f t="shared" si="36"/>
        <v>0</v>
      </c>
      <c r="S1206" t="s">
        <v>548</v>
      </c>
      <c r="T1206">
        <v>40</v>
      </c>
      <c r="U1206" t="str">
        <f t="shared" si="37"/>
        <v>Hannah Hampton:0</v>
      </c>
    </row>
    <row r="1207" spans="1:21" x14ac:dyDescent="0.2">
      <c r="A1207" t="s">
        <v>599</v>
      </c>
      <c r="B1207" t="s">
        <v>606</v>
      </c>
      <c r="C1207" t="s">
        <v>607</v>
      </c>
      <c r="D1207" t="s">
        <v>50</v>
      </c>
      <c r="E1207" t="s">
        <v>547</v>
      </c>
      <c r="F1207">
        <v>25</v>
      </c>
      <c r="G1207">
        <v>1993</v>
      </c>
      <c r="H1207">
        <v>18</v>
      </c>
      <c r="I1207">
        <v>18</v>
      </c>
      <c r="J1207">
        <v>1545</v>
      </c>
      <c r="K1207">
        <v>1</v>
      </c>
      <c r="L1207">
        <v>1</v>
      </c>
      <c r="M1207">
        <v>1</v>
      </c>
      <c r="N1207">
        <v>0</v>
      </c>
      <c r="O1207">
        <v>0</v>
      </c>
      <c r="P1207">
        <v>1</v>
      </c>
      <c r="Q1207">
        <v>0</v>
      </c>
      <c r="R1207">
        <f t="shared" si="36"/>
        <v>7.1916576770945702E-6</v>
      </c>
      <c r="S1207" t="s">
        <v>548</v>
      </c>
      <c r="T1207">
        <v>-3</v>
      </c>
      <c r="U1207" t="str">
        <f t="shared" si="37"/>
        <v>Hannah Short:1</v>
      </c>
    </row>
    <row r="1208" spans="1:21" x14ac:dyDescent="0.2">
      <c r="A1208" t="s">
        <v>407</v>
      </c>
      <c r="B1208" t="s">
        <v>632</v>
      </c>
      <c r="C1208" t="s">
        <v>633</v>
      </c>
      <c r="D1208" t="s">
        <v>50</v>
      </c>
      <c r="E1208" t="s">
        <v>360</v>
      </c>
      <c r="F1208">
        <v>25</v>
      </c>
      <c r="G1208">
        <v>1993</v>
      </c>
      <c r="H1208">
        <v>14</v>
      </c>
      <c r="I1208">
        <v>11</v>
      </c>
      <c r="J1208">
        <v>1024</v>
      </c>
      <c r="K1208">
        <v>0</v>
      </c>
      <c r="L1208">
        <v>1</v>
      </c>
      <c r="M1208">
        <v>0</v>
      </c>
      <c r="N1208">
        <v>0</v>
      </c>
      <c r="O1208">
        <v>0</v>
      </c>
      <c r="P1208">
        <v>2</v>
      </c>
      <c r="Q1208">
        <v>0</v>
      </c>
      <c r="R1208">
        <f t="shared" si="36"/>
        <v>0</v>
      </c>
      <c r="S1208" t="s">
        <v>548</v>
      </c>
      <c r="T1208">
        <v>40</v>
      </c>
      <c r="U1208" t="str">
        <f t="shared" si="37"/>
        <v>Harriet Scott:1</v>
      </c>
    </row>
    <row r="1209" spans="1:21" x14ac:dyDescent="0.2">
      <c r="A1209" t="s">
        <v>188</v>
      </c>
      <c r="B1209" t="s">
        <v>624</v>
      </c>
      <c r="C1209" t="s">
        <v>625</v>
      </c>
      <c r="D1209" t="s">
        <v>34</v>
      </c>
      <c r="E1209" t="s">
        <v>360</v>
      </c>
      <c r="F1209">
        <v>24</v>
      </c>
      <c r="G1209">
        <v>1993</v>
      </c>
      <c r="H1209">
        <v>19</v>
      </c>
      <c r="I1209">
        <v>19</v>
      </c>
      <c r="J1209">
        <v>1690</v>
      </c>
      <c r="K1209">
        <v>2</v>
      </c>
      <c r="L1209">
        <v>1</v>
      </c>
      <c r="M1209">
        <v>2</v>
      </c>
      <c r="N1209">
        <v>0</v>
      </c>
      <c r="O1209">
        <v>0</v>
      </c>
      <c r="P1209">
        <v>2</v>
      </c>
      <c r="Q1209">
        <v>1</v>
      </c>
      <c r="R1209">
        <f t="shared" si="36"/>
        <v>1.3149243918474688E-5</v>
      </c>
      <c r="S1209" t="s">
        <v>548</v>
      </c>
      <c r="T1209">
        <v>40</v>
      </c>
      <c r="U1209" t="str">
        <f t="shared" si="37"/>
        <v>Hayley Ladd:1</v>
      </c>
    </row>
    <row r="1210" spans="1:21" x14ac:dyDescent="0.2">
      <c r="A1210" t="s">
        <v>588</v>
      </c>
      <c r="B1210" t="s">
        <v>632</v>
      </c>
      <c r="C1210" t="s">
        <v>633</v>
      </c>
      <c r="D1210" t="s">
        <v>42</v>
      </c>
      <c r="E1210" t="s">
        <v>426</v>
      </c>
      <c r="F1210">
        <v>18</v>
      </c>
      <c r="G1210">
        <v>2000</v>
      </c>
      <c r="H1210">
        <v>9</v>
      </c>
      <c r="I1210">
        <v>1</v>
      </c>
      <c r="J1210">
        <v>241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f t="shared" si="36"/>
        <v>0</v>
      </c>
      <c r="S1210" t="s">
        <v>548</v>
      </c>
      <c r="T1210">
        <v>25</v>
      </c>
      <c r="U1210" t="str">
        <f t="shared" si="37"/>
        <v>Heather Payne:0</v>
      </c>
    </row>
    <row r="1211" spans="1:21" x14ac:dyDescent="0.2">
      <c r="A1211" t="s">
        <v>582</v>
      </c>
      <c r="B1211" t="s">
        <v>658</v>
      </c>
      <c r="C1211" t="s">
        <v>659</v>
      </c>
      <c r="D1211" t="s">
        <v>40</v>
      </c>
      <c r="E1211" t="s">
        <v>20</v>
      </c>
      <c r="F1211">
        <v>35</v>
      </c>
      <c r="G1211">
        <v>1983</v>
      </c>
      <c r="H1211">
        <v>9</v>
      </c>
      <c r="I1211">
        <v>9</v>
      </c>
      <c r="J1211">
        <v>810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f t="shared" si="36"/>
        <v>0</v>
      </c>
      <c r="S1211" t="s">
        <v>548</v>
      </c>
      <c r="T1211">
        <v>42</v>
      </c>
      <c r="U1211" t="str">
        <f t="shared" si="37"/>
        <v>Hedvig Lindahl:0</v>
      </c>
    </row>
    <row r="1212" spans="1:21" x14ac:dyDescent="0.2">
      <c r="A1212" t="s">
        <v>388</v>
      </c>
      <c r="B1212" t="s">
        <v>626</v>
      </c>
      <c r="C1212" t="s">
        <v>627</v>
      </c>
      <c r="D1212" t="s">
        <v>23</v>
      </c>
      <c r="E1212" t="s">
        <v>55</v>
      </c>
      <c r="F1212">
        <v>22</v>
      </c>
      <c r="G1212">
        <v>1996</v>
      </c>
      <c r="H1212">
        <v>19</v>
      </c>
      <c r="I1212">
        <v>18</v>
      </c>
      <c r="J1212">
        <v>1497</v>
      </c>
      <c r="K1212">
        <v>4</v>
      </c>
      <c r="L1212">
        <v>4</v>
      </c>
      <c r="M1212">
        <v>4</v>
      </c>
      <c r="N1212">
        <v>0</v>
      </c>
      <c r="O1212">
        <v>1</v>
      </c>
      <c r="P1212">
        <v>0</v>
      </c>
      <c r="Q1212">
        <v>0</v>
      </c>
      <c r="R1212">
        <f t="shared" si="36"/>
        <v>2.968900764491947E-5</v>
      </c>
      <c r="S1212" t="s">
        <v>548</v>
      </c>
      <c r="T1212">
        <v>12</v>
      </c>
      <c r="U1212" t="str">
        <f t="shared" si="37"/>
        <v>Inessa Kaagman:4</v>
      </c>
    </row>
    <row r="1213" spans="1:21" x14ac:dyDescent="0.2">
      <c r="A1213" t="s">
        <v>540</v>
      </c>
      <c r="B1213" t="s">
        <v>634</v>
      </c>
      <c r="C1213" t="s">
        <v>635</v>
      </c>
      <c r="D1213" t="s">
        <v>26</v>
      </c>
      <c r="E1213" t="s">
        <v>48</v>
      </c>
      <c r="F1213">
        <v>24</v>
      </c>
      <c r="G1213">
        <v>1994</v>
      </c>
      <c r="H1213">
        <v>20</v>
      </c>
      <c r="I1213">
        <v>14</v>
      </c>
      <c r="J1213">
        <v>1237</v>
      </c>
      <c r="K1213">
        <v>2</v>
      </c>
      <c r="L1213">
        <v>1</v>
      </c>
      <c r="M1213">
        <v>2</v>
      </c>
      <c r="N1213">
        <v>0</v>
      </c>
      <c r="O1213">
        <v>0</v>
      </c>
      <c r="P1213">
        <v>0</v>
      </c>
      <c r="Q1213">
        <v>0</v>
      </c>
      <c r="R1213">
        <f t="shared" si="36"/>
        <v>1.7964609718853856E-5</v>
      </c>
      <c r="S1213" t="s">
        <v>548</v>
      </c>
      <c r="T1213">
        <v>16</v>
      </c>
      <c r="U1213" t="str">
        <f t="shared" si="37"/>
        <v>Iniabasi Umotong:1</v>
      </c>
    </row>
    <row r="1214" spans="1:21" x14ac:dyDescent="0.2">
      <c r="A1214" t="s">
        <v>500</v>
      </c>
      <c r="B1214" t="s">
        <v>650</v>
      </c>
      <c r="C1214" t="s">
        <v>651</v>
      </c>
      <c r="D1214" t="s">
        <v>23</v>
      </c>
      <c r="E1214" t="s">
        <v>35</v>
      </c>
      <c r="F1214">
        <v>22</v>
      </c>
      <c r="G1214">
        <v>1995</v>
      </c>
      <c r="H1214">
        <v>6</v>
      </c>
      <c r="I1214">
        <v>3</v>
      </c>
      <c r="J1214">
        <v>287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f t="shared" si="36"/>
        <v>0</v>
      </c>
      <c r="S1214" t="s">
        <v>548</v>
      </c>
      <c r="T1214">
        <v>30</v>
      </c>
      <c r="U1214" t="str">
        <f t="shared" si="37"/>
        <v>Jade Bailey:0</v>
      </c>
    </row>
    <row r="1215" spans="1:21" x14ac:dyDescent="0.2">
      <c r="A1215" t="s">
        <v>500</v>
      </c>
      <c r="B1215" t="s">
        <v>650</v>
      </c>
      <c r="C1215" t="s">
        <v>651</v>
      </c>
      <c r="D1215" t="s">
        <v>34</v>
      </c>
      <c r="E1215" t="s">
        <v>20</v>
      </c>
      <c r="F1215">
        <v>22</v>
      </c>
      <c r="G1215">
        <v>1995</v>
      </c>
      <c r="H1215">
        <v>1</v>
      </c>
      <c r="I1215">
        <v>0</v>
      </c>
      <c r="J1215">
        <v>30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f t="shared" si="36"/>
        <v>0</v>
      </c>
      <c r="S1215" t="s">
        <v>548</v>
      </c>
      <c r="T1215">
        <v>42</v>
      </c>
      <c r="U1215" t="str">
        <f t="shared" si="37"/>
        <v>Jade Bailey:0</v>
      </c>
    </row>
    <row r="1216" spans="1:21" x14ac:dyDescent="0.2">
      <c r="A1216" t="s">
        <v>221</v>
      </c>
      <c r="B1216" t="s">
        <v>606</v>
      </c>
      <c r="C1216" t="s">
        <v>607</v>
      </c>
      <c r="D1216" t="s">
        <v>23</v>
      </c>
      <c r="E1216" t="s">
        <v>35</v>
      </c>
      <c r="F1216">
        <v>27</v>
      </c>
      <c r="G1216">
        <v>1990</v>
      </c>
      <c r="H1216">
        <v>13</v>
      </c>
      <c r="I1216">
        <v>12</v>
      </c>
      <c r="J1216">
        <v>974</v>
      </c>
      <c r="K1216">
        <v>1</v>
      </c>
      <c r="L1216">
        <v>0</v>
      </c>
      <c r="M1216">
        <v>1</v>
      </c>
      <c r="N1216">
        <v>0</v>
      </c>
      <c r="O1216">
        <v>0</v>
      </c>
      <c r="P1216">
        <v>2</v>
      </c>
      <c r="Q1216">
        <v>0</v>
      </c>
      <c r="R1216">
        <f t="shared" si="36"/>
        <v>1.1407711613050422E-5</v>
      </c>
      <c r="S1216" t="s">
        <v>548</v>
      </c>
      <c r="T1216">
        <v>30</v>
      </c>
      <c r="U1216" t="str">
        <f t="shared" si="37"/>
        <v>Jade Moore:0</v>
      </c>
    </row>
    <row r="1217" spans="1:21" x14ac:dyDescent="0.2">
      <c r="A1217" t="s">
        <v>480</v>
      </c>
      <c r="B1217" t="s">
        <v>652</v>
      </c>
      <c r="C1217" t="s">
        <v>653</v>
      </c>
      <c r="D1217" t="s">
        <v>26</v>
      </c>
      <c r="E1217" t="s">
        <v>24</v>
      </c>
      <c r="F1217">
        <v>28</v>
      </c>
      <c r="G1217">
        <v>1989</v>
      </c>
      <c r="H1217">
        <v>20</v>
      </c>
      <c r="I1217">
        <v>18</v>
      </c>
      <c r="J1217">
        <v>1660</v>
      </c>
      <c r="K1217">
        <v>7</v>
      </c>
      <c r="L1217">
        <v>2</v>
      </c>
      <c r="M1217">
        <v>7</v>
      </c>
      <c r="N1217">
        <v>0</v>
      </c>
      <c r="O1217">
        <v>1</v>
      </c>
      <c r="P1217">
        <v>0</v>
      </c>
      <c r="Q1217">
        <v>0</v>
      </c>
      <c r="R1217">
        <f t="shared" si="36"/>
        <v>4.6854082998661311E-5</v>
      </c>
      <c r="S1217" t="s">
        <v>548</v>
      </c>
      <c r="T1217">
        <v>23</v>
      </c>
      <c r="U1217" t="str">
        <f t="shared" si="37"/>
        <v>Jane Ross:2</v>
      </c>
    </row>
    <row r="1218" spans="1:21" x14ac:dyDescent="0.2">
      <c r="A1218" t="s">
        <v>348</v>
      </c>
      <c r="B1218" t="s">
        <v>608</v>
      </c>
      <c r="C1218" t="s">
        <v>609</v>
      </c>
      <c r="D1218" t="s">
        <v>26</v>
      </c>
      <c r="E1218" t="s">
        <v>32</v>
      </c>
      <c r="F1218">
        <v>23</v>
      </c>
      <c r="G1218">
        <v>1994</v>
      </c>
      <c r="H1218">
        <v>10</v>
      </c>
      <c r="I1218">
        <v>2</v>
      </c>
      <c r="J1218">
        <v>290</v>
      </c>
      <c r="K1218">
        <v>1</v>
      </c>
      <c r="L1218">
        <v>2</v>
      </c>
      <c r="M1218">
        <v>1</v>
      </c>
      <c r="N1218">
        <v>0</v>
      </c>
      <c r="O1218">
        <v>0</v>
      </c>
      <c r="P1218">
        <v>1</v>
      </c>
      <c r="Q1218">
        <v>0</v>
      </c>
      <c r="R1218">
        <f t="shared" si="36"/>
        <v>3.8314176245210727E-5</v>
      </c>
      <c r="S1218" t="s">
        <v>548</v>
      </c>
      <c r="T1218">
        <v>47</v>
      </c>
      <c r="U1218" t="str">
        <f t="shared" si="37"/>
        <v>Janine Beckie:2</v>
      </c>
    </row>
    <row r="1219" spans="1:21" x14ac:dyDescent="0.2">
      <c r="A1219" t="s">
        <v>550</v>
      </c>
      <c r="B1219" t="s">
        <v>620</v>
      </c>
      <c r="C1219" t="s">
        <v>621</v>
      </c>
      <c r="D1219" t="s">
        <v>50</v>
      </c>
      <c r="E1219" t="s">
        <v>27</v>
      </c>
      <c r="F1219">
        <v>31</v>
      </c>
      <c r="G1219">
        <v>1986</v>
      </c>
      <c r="H1219">
        <v>6</v>
      </c>
      <c r="I1219">
        <v>3</v>
      </c>
      <c r="J1219">
        <v>256</v>
      </c>
      <c r="K1219">
        <v>1</v>
      </c>
      <c r="L1219">
        <v>0</v>
      </c>
      <c r="M1219">
        <v>1</v>
      </c>
      <c r="N1219">
        <v>0</v>
      </c>
      <c r="O1219">
        <v>0</v>
      </c>
      <c r="P1219">
        <v>0</v>
      </c>
      <c r="Q1219">
        <v>0</v>
      </c>
      <c r="R1219">
        <f t="shared" ref="R1219:R1282" si="38">K1219/J1219/90</f>
        <v>4.3402777777777779E-5</v>
      </c>
      <c r="S1219" t="s">
        <v>548</v>
      </c>
      <c r="T1219">
        <v>54</v>
      </c>
      <c r="U1219" t="str">
        <f t="shared" ref="U1219:U1282" si="39">CONCATENATE(A1219, ":", L1219)</f>
        <v>Janni Arnth:0</v>
      </c>
    </row>
    <row r="1220" spans="1:21" x14ac:dyDescent="0.2">
      <c r="A1220" t="s">
        <v>210</v>
      </c>
      <c r="B1220" t="s">
        <v>606</v>
      </c>
      <c r="C1220" t="s">
        <v>607</v>
      </c>
      <c r="D1220" t="s">
        <v>50</v>
      </c>
      <c r="E1220" t="s">
        <v>65</v>
      </c>
      <c r="F1220">
        <v>25</v>
      </c>
      <c r="G1220">
        <v>1993</v>
      </c>
      <c r="H1220">
        <v>10</v>
      </c>
      <c r="I1220">
        <v>10</v>
      </c>
      <c r="J1220">
        <v>895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1</v>
      </c>
      <c r="Q1220">
        <v>0</v>
      </c>
      <c r="R1220">
        <f t="shared" si="38"/>
        <v>0</v>
      </c>
      <c r="S1220" t="s">
        <v>548</v>
      </c>
      <c r="T1220">
        <v>22</v>
      </c>
      <c r="U1220" t="str">
        <f t="shared" si="39"/>
        <v>Jasmine Matthews:0</v>
      </c>
    </row>
    <row r="1221" spans="1:21" x14ac:dyDescent="0.2">
      <c r="A1221" t="s">
        <v>252</v>
      </c>
      <c r="B1221" t="s">
        <v>606</v>
      </c>
      <c r="C1221" t="s">
        <v>607</v>
      </c>
      <c r="D1221" t="s">
        <v>50</v>
      </c>
      <c r="E1221" t="s">
        <v>65</v>
      </c>
      <c r="F1221">
        <v>21</v>
      </c>
      <c r="G1221">
        <v>1997</v>
      </c>
      <c r="H1221">
        <v>6</v>
      </c>
      <c r="I1221">
        <v>6</v>
      </c>
      <c r="J1221">
        <v>540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f t="shared" si="38"/>
        <v>0</v>
      </c>
      <c r="S1221" t="s">
        <v>548</v>
      </c>
      <c r="T1221">
        <v>22</v>
      </c>
      <c r="U1221" t="str">
        <f t="shared" si="39"/>
        <v>Jemma Purfield:0</v>
      </c>
    </row>
    <row r="1222" spans="1:21" x14ac:dyDescent="0.2">
      <c r="A1222" t="s">
        <v>581</v>
      </c>
      <c r="B1222" t="s">
        <v>606</v>
      </c>
      <c r="C1222" t="s">
        <v>607</v>
      </c>
      <c r="D1222" t="s">
        <v>23</v>
      </c>
      <c r="E1222" t="s">
        <v>48</v>
      </c>
      <c r="F1222">
        <v>21</v>
      </c>
      <c r="G1222">
        <v>1997</v>
      </c>
      <c r="H1222">
        <v>3</v>
      </c>
      <c r="I1222">
        <v>2</v>
      </c>
      <c r="J1222">
        <v>107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f t="shared" si="38"/>
        <v>0</v>
      </c>
      <c r="S1222" t="s">
        <v>548</v>
      </c>
      <c r="T1222">
        <v>16</v>
      </c>
      <c r="U1222" t="str">
        <f t="shared" si="39"/>
        <v>Jenna Legg:0</v>
      </c>
    </row>
    <row r="1223" spans="1:21" x14ac:dyDescent="0.2">
      <c r="A1223" t="s">
        <v>53</v>
      </c>
      <c r="B1223" t="s">
        <v>652</v>
      </c>
      <c r="C1223" t="s">
        <v>653</v>
      </c>
      <c r="D1223" t="s">
        <v>50</v>
      </c>
      <c r="E1223" t="s">
        <v>32</v>
      </c>
      <c r="F1223">
        <v>27</v>
      </c>
      <c r="G1223">
        <v>1991</v>
      </c>
      <c r="H1223">
        <v>17</v>
      </c>
      <c r="I1223">
        <v>17</v>
      </c>
      <c r="J1223">
        <v>1530</v>
      </c>
      <c r="K1223">
        <v>1</v>
      </c>
      <c r="L1223">
        <v>0</v>
      </c>
      <c r="M1223">
        <v>1</v>
      </c>
      <c r="N1223">
        <v>0</v>
      </c>
      <c r="O1223">
        <v>0</v>
      </c>
      <c r="P1223">
        <v>1</v>
      </c>
      <c r="Q1223">
        <v>0</v>
      </c>
      <c r="R1223">
        <f t="shared" si="38"/>
        <v>7.2621641249092225E-6</v>
      </c>
      <c r="S1223" t="s">
        <v>548</v>
      </c>
      <c r="T1223">
        <v>47</v>
      </c>
      <c r="U1223" t="str">
        <f t="shared" si="39"/>
        <v>Jennifer Beattie:0</v>
      </c>
    </row>
    <row r="1224" spans="1:21" x14ac:dyDescent="0.2">
      <c r="A1224" t="s">
        <v>83</v>
      </c>
      <c r="B1224" t="s">
        <v>606</v>
      </c>
      <c r="C1224" t="s">
        <v>607</v>
      </c>
      <c r="D1224" t="s">
        <v>29</v>
      </c>
      <c r="E1224" t="s">
        <v>20</v>
      </c>
      <c r="F1224">
        <v>20</v>
      </c>
      <c r="G1224">
        <v>1997</v>
      </c>
      <c r="H1224">
        <v>13</v>
      </c>
      <c r="I1224">
        <v>8</v>
      </c>
      <c r="J1224">
        <v>763</v>
      </c>
      <c r="K1224">
        <v>0</v>
      </c>
      <c r="L1224">
        <v>1</v>
      </c>
      <c r="M1224">
        <v>0</v>
      </c>
      <c r="N1224">
        <v>0</v>
      </c>
      <c r="O1224">
        <v>0</v>
      </c>
      <c r="P1224">
        <v>1</v>
      </c>
      <c r="Q1224">
        <v>0</v>
      </c>
      <c r="R1224">
        <f t="shared" si="38"/>
        <v>0</v>
      </c>
      <c r="S1224" t="s">
        <v>548</v>
      </c>
      <c r="T1224">
        <v>42</v>
      </c>
      <c r="U1224" t="str">
        <f t="shared" si="39"/>
        <v>Jess Carter:1</v>
      </c>
    </row>
    <row r="1225" spans="1:21" x14ac:dyDescent="0.2">
      <c r="A1225" t="s">
        <v>506</v>
      </c>
      <c r="B1225" t="s">
        <v>606</v>
      </c>
      <c r="C1225" t="s">
        <v>607</v>
      </c>
      <c r="D1225" t="s">
        <v>42</v>
      </c>
      <c r="E1225" t="s">
        <v>65</v>
      </c>
      <c r="F1225">
        <v>29</v>
      </c>
      <c r="G1225">
        <v>1989</v>
      </c>
      <c r="H1225">
        <v>12</v>
      </c>
      <c r="I1225">
        <v>11</v>
      </c>
      <c r="J1225">
        <v>1017</v>
      </c>
      <c r="K1225">
        <v>2</v>
      </c>
      <c r="L1225">
        <v>2</v>
      </c>
      <c r="M1225">
        <v>2</v>
      </c>
      <c r="N1225">
        <v>0</v>
      </c>
      <c r="O1225">
        <v>0</v>
      </c>
      <c r="P1225">
        <v>0</v>
      </c>
      <c r="Q1225">
        <v>0</v>
      </c>
      <c r="R1225">
        <f t="shared" si="38"/>
        <v>2.185075931388616E-5</v>
      </c>
      <c r="S1225" t="s">
        <v>548</v>
      </c>
      <c r="T1225">
        <v>22</v>
      </c>
      <c r="U1225" t="str">
        <f t="shared" si="39"/>
        <v>Jessica Clarke:2</v>
      </c>
    </row>
    <row r="1226" spans="1:21" x14ac:dyDescent="0.2">
      <c r="A1226" t="s">
        <v>236</v>
      </c>
      <c r="B1226" t="s">
        <v>606</v>
      </c>
      <c r="C1226" t="s">
        <v>607</v>
      </c>
      <c r="D1226" t="s">
        <v>42</v>
      </c>
      <c r="E1226" t="s">
        <v>32</v>
      </c>
      <c r="F1226">
        <v>16</v>
      </c>
      <c r="G1226">
        <v>2001</v>
      </c>
      <c r="H1226">
        <v>2</v>
      </c>
      <c r="I1226">
        <v>0</v>
      </c>
      <c r="J1226">
        <v>39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f t="shared" si="38"/>
        <v>0</v>
      </c>
      <c r="S1226" t="s">
        <v>548</v>
      </c>
      <c r="T1226">
        <v>47</v>
      </c>
      <c r="U1226" t="str">
        <f t="shared" si="39"/>
        <v>Jessica Park:0</v>
      </c>
    </row>
    <row r="1227" spans="1:21" x14ac:dyDescent="0.2">
      <c r="A1227" t="s">
        <v>598</v>
      </c>
      <c r="B1227" t="s">
        <v>658</v>
      </c>
      <c r="C1227" t="s">
        <v>659</v>
      </c>
      <c r="D1227" t="s">
        <v>50</v>
      </c>
      <c r="E1227" t="s">
        <v>27</v>
      </c>
      <c r="F1227">
        <v>26</v>
      </c>
      <c r="G1227">
        <v>1992</v>
      </c>
      <c r="H1227">
        <v>8</v>
      </c>
      <c r="I1227">
        <v>1</v>
      </c>
      <c r="J1227">
        <v>193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f t="shared" si="38"/>
        <v>0</v>
      </c>
      <c r="S1227" t="s">
        <v>548</v>
      </c>
      <c r="T1227">
        <v>54</v>
      </c>
      <c r="U1227" t="str">
        <f t="shared" si="39"/>
        <v>Jessica Samuelsson:0</v>
      </c>
    </row>
    <row r="1228" spans="1:21" x14ac:dyDescent="0.2">
      <c r="A1228" t="s">
        <v>495</v>
      </c>
      <c r="B1228" t="s">
        <v>606</v>
      </c>
      <c r="C1228" t="s">
        <v>607</v>
      </c>
      <c r="D1228" t="s">
        <v>34</v>
      </c>
      <c r="E1228" t="s">
        <v>426</v>
      </c>
      <c r="F1228">
        <v>17</v>
      </c>
      <c r="G1228">
        <v>2001</v>
      </c>
      <c r="H1228">
        <v>4</v>
      </c>
      <c r="I1228">
        <v>1</v>
      </c>
      <c r="J1228">
        <v>71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f t="shared" si="38"/>
        <v>0</v>
      </c>
      <c r="S1228" t="s">
        <v>548</v>
      </c>
      <c r="T1228">
        <v>25</v>
      </c>
      <c r="U1228" t="str">
        <f t="shared" si="39"/>
        <v>Jessica Wooley:0</v>
      </c>
    </row>
    <row r="1229" spans="1:21" x14ac:dyDescent="0.2">
      <c r="A1229" t="s">
        <v>411</v>
      </c>
      <c r="B1229" t="s">
        <v>640</v>
      </c>
      <c r="C1229" t="s">
        <v>641</v>
      </c>
      <c r="D1229" t="s">
        <v>34</v>
      </c>
      <c r="E1229" t="s">
        <v>20</v>
      </c>
      <c r="F1229">
        <v>27</v>
      </c>
      <c r="G1229">
        <v>1991</v>
      </c>
      <c r="H1229">
        <v>17</v>
      </c>
      <c r="I1229">
        <v>17</v>
      </c>
      <c r="J1229">
        <v>1430</v>
      </c>
      <c r="K1229">
        <v>6</v>
      </c>
      <c r="L1229">
        <v>2</v>
      </c>
      <c r="M1229">
        <v>6</v>
      </c>
      <c r="N1229">
        <v>0</v>
      </c>
      <c r="O1229">
        <v>0</v>
      </c>
      <c r="P1229">
        <v>0</v>
      </c>
      <c r="Q1229">
        <v>0</v>
      </c>
      <c r="R1229">
        <f t="shared" si="38"/>
        <v>4.662004662004662E-5</v>
      </c>
      <c r="S1229" t="s">
        <v>548</v>
      </c>
      <c r="T1229">
        <v>42</v>
      </c>
      <c r="U1229" t="str">
        <f t="shared" si="39"/>
        <v>Ji So-yun:2</v>
      </c>
    </row>
    <row r="1230" spans="1:21" x14ac:dyDescent="0.2">
      <c r="A1230" t="s">
        <v>408</v>
      </c>
      <c r="B1230" t="s">
        <v>606</v>
      </c>
      <c r="C1230" t="s">
        <v>607</v>
      </c>
      <c r="D1230" t="s">
        <v>34</v>
      </c>
      <c r="E1230" t="s">
        <v>32</v>
      </c>
      <c r="F1230">
        <v>31</v>
      </c>
      <c r="G1230">
        <v>1987</v>
      </c>
      <c r="H1230">
        <v>19</v>
      </c>
      <c r="I1230">
        <v>19</v>
      </c>
      <c r="J1230">
        <v>1574</v>
      </c>
      <c r="K1230">
        <v>0</v>
      </c>
      <c r="L1230">
        <v>5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f t="shared" si="38"/>
        <v>0</v>
      </c>
      <c r="S1230" t="s">
        <v>548</v>
      </c>
      <c r="T1230">
        <v>47</v>
      </c>
      <c r="U1230" t="str">
        <f t="shared" si="39"/>
        <v>Jill Scott:5</v>
      </c>
    </row>
    <row r="1231" spans="1:21" x14ac:dyDescent="0.2">
      <c r="A1231" t="s">
        <v>531</v>
      </c>
      <c r="B1231" t="s">
        <v>606</v>
      </c>
      <c r="C1231" t="s">
        <v>607</v>
      </c>
      <c r="D1231" t="s">
        <v>50</v>
      </c>
      <c r="E1231" t="s">
        <v>35</v>
      </c>
      <c r="F1231">
        <v>33</v>
      </c>
      <c r="G1231">
        <v>1984</v>
      </c>
      <c r="H1231">
        <v>16</v>
      </c>
      <c r="I1231">
        <v>16</v>
      </c>
      <c r="J1231">
        <v>1440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f t="shared" si="38"/>
        <v>0</v>
      </c>
      <c r="S1231" t="s">
        <v>548</v>
      </c>
      <c r="T1231">
        <v>30</v>
      </c>
      <c r="U1231" t="str">
        <f t="shared" si="39"/>
        <v>Jo Potter:0</v>
      </c>
    </row>
    <row r="1232" spans="1:21" x14ac:dyDescent="0.2">
      <c r="A1232" t="s">
        <v>554</v>
      </c>
      <c r="B1232" t="s">
        <v>606</v>
      </c>
      <c r="C1232" t="s">
        <v>607</v>
      </c>
      <c r="D1232" t="s">
        <v>34</v>
      </c>
      <c r="E1232" t="s">
        <v>48</v>
      </c>
      <c r="F1232">
        <v>22</v>
      </c>
      <c r="G1232">
        <v>1996</v>
      </c>
      <c r="H1232">
        <v>10</v>
      </c>
      <c r="I1232">
        <v>6</v>
      </c>
      <c r="J1232">
        <v>562</v>
      </c>
      <c r="K1232">
        <v>1</v>
      </c>
      <c r="L1232">
        <v>0</v>
      </c>
      <c r="M1232">
        <v>1</v>
      </c>
      <c r="N1232">
        <v>0</v>
      </c>
      <c r="O1232">
        <v>0</v>
      </c>
      <c r="P1232">
        <v>0</v>
      </c>
      <c r="Q1232">
        <v>0</v>
      </c>
      <c r="R1232">
        <f t="shared" si="38"/>
        <v>1.9770660340055357E-5</v>
      </c>
      <c r="S1232" t="s">
        <v>548</v>
      </c>
      <c r="T1232">
        <v>16</v>
      </c>
      <c r="U1232" t="str">
        <f t="shared" si="39"/>
        <v>Jodie Brett:0</v>
      </c>
    </row>
    <row r="1233" spans="1:21" x14ac:dyDescent="0.2">
      <c r="A1233" t="s">
        <v>341</v>
      </c>
      <c r="B1233" t="s">
        <v>658</v>
      </c>
      <c r="C1233" t="s">
        <v>659</v>
      </c>
      <c r="D1233" t="s">
        <v>50</v>
      </c>
      <c r="E1233" t="s">
        <v>20</v>
      </c>
      <c r="F1233">
        <v>25</v>
      </c>
      <c r="G1233">
        <v>1993</v>
      </c>
      <c r="H1233">
        <v>18</v>
      </c>
      <c r="I1233">
        <v>18</v>
      </c>
      <c r="J1233">
        <v>1504</v>
      </c>
      <c r="K1233">
        <v>0</v>
      </c>
      <c r="L1233">
        <v>2</v>
      </c>
      <c r="M1233">
        <v>0</v>
      </c>
      <c r="N1233">
        <v>0</v>
      </c>
      <c r="O1233">
        <v>0</v>
      </c>
      <c r="P1233">
        <v>1</v>
      </c>
      <c r="Q1233">
        <v>0</v>
      </c>
      <c r="R1233">
        <f t="shared" si="38"/>
        <v>0</v>
      </c>
      <c r="S1233" t="s">
        <v>548</v>
      </c>
      <c r="T1233">
        <v>42</v>
      </c>
      <c r="U1233" t="str">
        <f t="shared" si="39"/>
        <v>Jonna Andersson:2</v>
      </c>
    </row>
    <row r="1234" spans="1:21" x14ac:dyDescent="0.2">
      <c r="A1234" t="s">
        <v>231</v>
      </c>
      <c r="B1234" t="s">
        <v>606</v>
      </c>
      <c r="C1234" t="s">
        <v>607</v>
      </c>
      <c r="D1234" t="s">
        <v>23</v>
      </c>
      <c r="E1234" t="s">
        <v>27</v>
      </c>
      <c r="F1234">
        <v>25</v>
      </c>
      <c r="G1234">
        <v>1992</v>
      </c>
      <c r="H1234">
        <v>8</v>
      </c>
      <c r="I1234">
        <v>8</v>
      </c>
      <c r="J1234">
        <v>704</v>
      </c>
      <c r="K1234">
        <v>9</v>
      </c>
      <c r="L1234">
        <v>3</v>
      </c>
      <c r="M1234">
        <v>9</v>
      </c>
      <c r="N1234">
        <v>0</v>
      </c>
      <c r="O1234">
        <v>0</v>
      </c>
      <c r="P1234">
        <v>0</v>
      </c>
      <c r="Q1234">
        <v>0</v>
      </c>
      <c r="R1234">
        <f t="shared" si="38"/>
        <v>1.4204545454545457E-4</v>
      </c>
      <c r="S1234" t="s">
        <v>548</v>
      </c>
      <c r="T1234">
        <v>54</v>
      </c>
      <c r="U1234" t="str">
        <f t="shared" si="39"/>
        <v>Jordan Nobbs:3</v>
      </c>
    </row>
    <row r="1235" spans="1:21" x14ac:dyDescent="0.2">
      <c r="A1235" t="s">
        <v>536</v>
      </c>
      <c r="B1235" t="s">
        <v>630</v>
      </c>
      <c r="C1235" t="s">
        <v>631</v>
      </c>
      <c r="D1235" t="s">
        <v>34</v>
      </c>
      <c r="E1235" t="s">
        <v>24</v>
      </c>
      <c r="F1235">
        <v>29</v>
      </c>
      <c r="G1235">
        <v>1989</v>
      </c>
      <c r="H1235">
        <v>11</v>
      </c>
      <c r="I1235">
        <v>11</v>
      </c>
      <c r="J1235">
        <v>907</v>
      </c>
      <c r="K1235">
        <v>2</v>
      </c>
      <c r="L1235">
        <v>4</v>
      </c>
      <c r="M1235">
        <v>2</v>
      </c>
      <c r="N1235">
        <v>0</v>
      </c>
      <c r="O1235">
        <v>0</v>
      </c>
      <c r="P1235">
        <v>1</v>
      </c>
      <c r="Q1235">
        <v>0</v>
      </c>
      <c r="R1235">
        <f t="shared" si="38"/>
        <v>2.4500796275878966E-5</v>
      </c>
      <c r="S1235" t="s">
        <v>548</v>
      </c>
      <c r="T1235">
        <v>23</v>
      </c>
      <c r="U1235" t="str">
        <f t="shared" si="39"/>
        <v>Julia Simic:4</v>
      </c>
    </row>
    <row r="1236" spans="1:21" x14ac:dyDescent="0.2">
      <c r="A1236" t="s">
        <v>551</v>
      </c>
      <c r="B1236" t="s">
        <v>622</v>
      </c>
      <c r="C1236" t="s">
        <v>623</v>
      </c>
      <c r="D1236" t="s">
        <v>34</v>
      </c>
      <c r="E1236" t="s">
        <v>426</v>
      </c>
      <c r="F1236">
        <v>24</v>
      </c>
      <c r="G1236">
        <v>1994</v>
      </c>
      <c r="H1236">
        <v>20</v>
      </c>
      <c r="I1236">
        <v>20</v>
      </c>
      <c r="J1236">
        <v>1800</v>
      </c>
      <c r="K1236">
        <v>0</v>
      </c>
      <c r="L1236">
        <v>2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f t="shared" si="38"/>
        <v>0</v>
      </c>
      <c r="S1236" t="s">
        <v>548</v>
      </c>
      <c r="T1236">
        <v>25</v>
      </c>
      <c r="U1236" t="str">
        <f t="shared" si="39"/>
        <v>Julie Biesmans:2</v>
      </c>
    </row>
    <row r="1237" spans="1:21" x14ac:dyDescent="0.2">
      <c r="A1237" t="s">
        <v>578</v>
      </c>
      <c r="B1237" t="s">
        <v>656</v>
      </c>
      <c r="C1237" t="s">
        <v>657</v>
      </c>
      <c r="D1237" t="s">
        <v>26</v>
      </c>
      <c r="E1237" t="s">
        <v>426</v>
      </c>
      <c r="F1237">
        <v>24</v>
      </c>
      <c r="G1237">
        <v>1994</v>
      </c>
      <c r="H1237">
        <v>14</v>
      </c>
      <c r="I1237">
        <v>12</v>
      </c>
      <c r="J1237">
        <v>870</v>
      </c>
      <c r="K1237">
        <v>1</v>
      </c>
      <c r="L1237">
        <v>0</v>
      </c>
      <c r="M1237">
        <v>1</v>
      </c>
      <c r="N1237">
        <v>0</v>
      </c>
      <c r="O1237">
        <v>0</v>
      </c>
      <c r="P1237">
        <v>0</v>
      </c>
      <c r="Q1237">
        <v>0</v>
      </c>
      <c r="R1237">
        <f t="shared" si="38"/>
        <v>1.277139208173691E-5</v>
      </c>
      <c r="S1237" t="s">
        <v>548</v>
      </c>
      <c r="T1237">
        <v>25</v>
      </c>
      <c r="U1237" t="str">
        <f t="shared" si="39"/>
        <v>Juliette Kemppi:0</v>
      </c>
    </row>
    <row r="1238" spans="1:21" x14ac:dyDescent="0.2">
      <c r="A1238" t="s">
        <v>428</v>
      </c>
      <c r="B1238" t="s">
        <v>606</v>
      </c>
      <c r="C1238" t="s">
        <v>607</v>
      </c>
      <c r="D1238" t="s">
        <v>40</v>
      </c>
      <c r="E1238" t="s">
        <v>32</v>
      </c>
      <c r="F1238">
        <v>33</v>
      </c>
      <c r="G1238">
        <v>1984</v>
      </c>
      <c r="H1238">
        <v>5</v>
      </c>
      <c r="I1238">
        <v>5</v>
      </c>
      <c r="J1238">
        <v>450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f t="shared" si="38"/>
        <v>0</v>
      </c>
      <c r="S1238" t="s">
        <v>548</v>
      </c>
      <c r="T1238">
        <v>47</v>
      </c>
      <c r="U1238" t="str">
        <f t="shared" si="39"/>
        <v>Karen Bardsley:0</v>
      </c>
    </row>
    <row r="1239" spans="1:21" x14ac:dyDescent="0.2">
      <c r="A1239" t="s">
        <v>559</v>
      </c>
      <c r="B1239" t="s">
        <v>606</v>
      </c>
      <c r="C1239" t="s">
        <v>607</v>
      </c>
      <c r="D1239" t="s">
        <v>42</v>
      </c>
      <c r="E1239" t="s">
        <v>20</v>
      </c>
      <c r="F1239">
        <v>30</v>
      </c>
      <c r="G1239">
        <v>1987</v>
      </c>
      <c r="H1239">
        <v>14</v>
      </c>
      <c r="I1239">
        <v>12</v>
      </c>
      <c r="J1239">
        <v>985</v>
      </c>
      <c r="K1239">
        <v>1</v>
      </c>
      <c r="L1239">
        <v>4</v>
      </c>
      <c r="M1239">
        <v>1</v>
      </c>
      <c r="N1239">
        <v>0</v>
      </c>
      <c r="O1239">
        <v>1</v>
      </c>
      <c r="P1239">
        <v>2</v>
      </c>
      <c r="Q1239">
        <v>0</v>
      </c>
      <c r="R1239">
        <f t="shared" si="38"/>
        <v>1.1280315848843769E-5</v>
      </c>
      <c r="S1239" t="s">
        <v>548</v>
      </c>
      <c r="T1239">
        <v>42</v>
      </c>
      <c r="U1239" t="str">
        <f t="shared" si="39"/>
        <v>Karen Carney:4</v>
      </c>
    </row>
    <row r="1240" spans="1:21" x14ac:dyDescent="0.2">
      <c r="A1240" t="s">
        <v>201</v>
      </c>
      <c r="B1240" t="s">
        <v>606</v>
      </c>
      <c r="C1240" t="s">
        <v>607</v>
      </c>
      <c r="D1240" t="s">
        <v>94</v>
      </c>
      <c r="E1240" t="s">
        <v>24</v>
      </c>
      <c r="F1240">
        <v>29</v>
      </c>
      <c r="G1240">
        <v>1989</v>
      </c>
      <c r="H1240">
        <v>19</v>
      </c>
      <c r="I1240">
        <v>17</v>
      </c>
      <c r="J1240">
        <v>1596</v>
      </c>
      <c r="K1240">
        <v>2</v>
      </c>
      <c r="L1240">
        <v>1</v>
      </c>
      <c r="M1240">
        <v>2</v>
      </c>
      <c r="N1240">
        <v>0</v>
      </c>
      <c r="O1240">
        <v>0</v>
      </c>
      <c r="P1240">
        <v>4</v>
      </c>
      <c r="Q1240">
        <v>0</v>
      </c>
      <c r="R1240">
        <f t="shared" si="38"/>
        <v>1.3923698134224449E-5</v>
      </c>
      <c r="S1240" t="s">
        <v>548</v>
      </c>
      <c r="T1240">
        <v>23</v>
      </c>
      <c r="U1240" t="str">
        <f t="shared" si="39"/>
        <v>Kate Longhurst:1</v>
      </c>
    </row>
    <row r="1241" spans="1:21" x14ac:dyDescent="0.2">
      <c r="A1241" t="s">
        <v>528</v>
      </c>
      <c r="B1241" t="s">
        <v>606</v>
      </c>
      <c r="C1241" t="s">
        <v>607</v>
      </c>
      <c r="D1241" t="s">
        <v>42</v>
      </c>
      <c r="E1241" t="s">
        <v>48</v>
      </c>
      <c r="F1241">
        <v>25</v>
      </c>
      <c r="G1241">
        <v>1992</v>
      </c>
      <c r="H1241">
        <v>12</v>
      </c>
      <c r="I1241">
        <v>9</v>
      </c>
      <c r="J1241">
        <v>756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f t="shared" si="38"/>
        <v>0</v>
      </c>
      <c r="S1241" t="s">
        <v>548</v>
      </c>
      <c r="T1241">
        <v>16</v>
      </c>
      <c r="U1241" t="str">
        <f t="shared" si="39"/>
        <v>Kate Natkiel:0</v>
      </c>
    </row>
    <row r="1242" spans="1:21" x14ac:dyDescent="0.2">
      <c r="A1242" t="s">
        <v>213</v>
      </c>
      <c r="B1242" t="s">
        <v>632</v>
      </c>
      <c r="C1242" t="s">
        <v>633</v>
      </c>
      <c r="D1242" t="s">
        <v>23</v>
      </c>
      <c r="E1242" t="s">
        <v>27</v>
      </c>
      <c r="F1242">
        <v>22</v>
      </c>
      <c r="G1242">
        <v>1995</v>
      </c>
      <c r="H1242">
        <v>20</v>
      </c>
      <c r="I1242">
        <v>17</v>
      </c>
      <c r="J1242">
        <v>1575</v>
      </c>
      <c r="K1242">
        <v>5</v>
      </c>
      <c r="L1242">
        <v>8</v>
      </c>
      <c r="M1242">
        <v>5</v>
      </c>
      <c r="N1242">
        <v>0</v>
      </c>
      <c r="O1242">
        <v>0</v>
      </c>
      <c r="P1242">
        <v>2</v>
      </c>
      <c r="Q1242">
        <v>0</v>
      </c>
      <c r="R1242">
        <f t="shared" si="38"/>
        <v>3.5273368606701937E-5</v>
      </c>
      <c r="S1242" t="s">
        <v>548</v>
      </c>
      <c r="T1242">
        <v>54</v>
      </c>
      <c r="U1242" t="str">
        <f t="shared" si="39"/>
        <v>Katie McCabe:8</v>
      </c>
    </row>
    <row r="1243" spans="1:21" x14ac:dyDescent="0.2">
      <c r="A1243" t="s">
        <v>262</v>
      </c>
      <c r="B1243" t="s">
        <v>606</v>
      </c>
      <c r="C1243" t="s">
        <v>607</v>
      </c>
      <c r="D1243" t="s">
        <v>26</v>
      </c>
      <c r="E1243" t="s">
        <v>426</v>
      </c>
      <c r="F1243">
        <v>15</v>
      </c>
      <c r="G1243">
        <v>2002</v>
      </c>
      <c r="H1243">
        <v>7</v>
      </c>
      <c r="I1243">
        <v>0</v>
      </c>
      <c r="J1243">
        <v>102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f t="shared" si="38"/>
        <v>0</v>
      </c>
      <c r="S1243" t="s">
        <v>548</v>
      </c>
      <c r="T1243">
        <v>25</v>
      </c>
      <c r="U1243" t="str">
        <f t="shared" si="39"/>
        <v>Katie Robinson:0</v>
      </c>
    </row>
    <row r="1244" spans="1:21" x14ac:dyDescent="0.2">
      <c r="A1244" t="s">
        <v>595</v>
      </c>
      <c r="B1244" t="s">
        <v>628</v>
      </c>
      <c r="C1244" t="s">
        <v>629</v>
      </c>
      <c r="D1244" t="s">
        <v>42</v>
      </c>
      <c r="E1244" t="s">
        <v>426</v>
      </c>
      <c r="F1244">
        <v>25</v>
      </c>
      <c r="G1244">
        <v>1992</v>
      </c>
      <c r="H1244">
        <v>4</v>
      </c>
      <c r="I1244">
        <v>1</v>
      </c>
      <c r="J1244">
        <v>107</v>
      </c>
      <c r="K1244">
        <v>1</v>
      </c>
      <c r="L1244">
        <v>0</v>
      </c>
      <c r="M1244">
        <v>1</v>
      </c>
      <c r="N1244">
        <v>0</v>
      </c>
      <c r="O1244">
        <v>0</v>
      </c>
      <c r="P1244">
        <v>0</v>
      </c>
      <c r="Q1244">
        <v>0</v>
      </c>
      <c r="R1244">
        <f t="shared" si="38"/>
        <v>1.0384215991692626E-4</v>
      </c>
      <c r="S1244" t="s">
        <v>548</v>
      </c>
      <c r="T1244">
        <v>25</v>
      </c>
      <c r="U1244" t="str">
        <f t="shared" si="39"/>
        <v>Katie Rood:0</v>
      </c>
    </row>
    <row r="1245" spans="1:21" x14ac:dyDescent="0.2">
      <c r="A1245" t="s">
        <v>315</v>
      </c>
      <c r="B1245" t="s">
        <v>620</v>
      </c>
      <c r="C1245" t="s">
        <v>621</v>
      </c>
      <c r="D1245" t="s">
        <v>19</v>
      </c>
      <c r="E1245" t="s">
        <v>27</v>
      </c>
      <c r="F1245">
        <v>27</v>
      </c>
      <c r="G1245">
        <v>1991</v>
      </c>
      <c r="H1245">
        <v>8</v>
      </c>
      <c r="I1245">
        <v>7</v>
      </c>
      <c r="J1245">
        <v>622</v>
      </c>
      <c r="K1245">
        <v>0</v>
      </c>
      <c r="L1245">
        <v>2</v>
      </c>
      <c r="M1245">
        <v>0</v>
      </c>
      <c r="N1245">
        <v>0</v>
      </c>
      <c r="O1245">
        <v>0</v>
      </c>
      <c r="P1245">
        <v>1</v>
      </c>
      <c r="Q1245">
        <v>0</v>
      </c>
      <c r="R1245">
        <f t="shared" si="38"/>
        <v>0</v>
      </c>
      <c r="S1245" t="s">
        <v>548</v>
      </c>
      <c r="T1245">
        <v>54</v>
      </c>
      <c r="U1245" t="str">
        <f t="shared" si="39"/>
        <v>Katrine Veje:2</v>
      </c>
    </row>
    <row r="1246" spans="1:21" x14ac:dyDescent="0.2">
      <c r="A1246" t="s">
        <v>142</v>
      </c>
      <c r="B1246" t="s">
        <v>624</v>
      </c>
      <c r="C1246" t="s">
        <v>625</v>
      </c>
      <c r="D1246" t="s">
        <v>23</v>
      </c>
      <c r="E1246" t="s">
        <v>48</v>
      </c>
      <c r="F1246">
        <v>30</v>
      </c>
      <c r="G1246">
        <v>1988</v>
      </c>
      <c r="H1246">
        <v>18</v>
      </c>
      <c r="I1246">
        <v>17</v>
      </c>
      <c r="J1246">
        <v>1541</v>
      </c>
      <c r="K1246">
        <v>2</v>
      </c>
      <c r="L1246">
        <v>2</v>
      </c>
      <c r="M1246">
        <v>2</v>
      </c>
      <c r="N1246">
        <v>0</v>
      </c>
      <c r="O1246">
        <v>0</v>
      </c>
      <c r="P1246">
        <v>2</v>
      </c>
      <c r="Q1246">
        <v>0</v>
      </c>
      <c r="R1246">
        <f t="shared" si="38"/>
        <v>1.4420650371331747E-5</v>
      </c>
      <c r="S1246" t="s">
        <v>548</v>
      </c>
      <c r="T1246">
        <v>16</v>
      </c>
      <c r="U1246" t="str">
        <f t="shared" si="39"/>
        <v>Kayleigh Green:2</v>
      </c>
    </row>
    <row r="1247" spans="1:21" x14ac:dyDescent="0.2">
      <c r="A1247" t="s">
        <v>416</v>
      </c>
      <c r="B1247" t="s">
        <v>606</v>
      </c>
      <c r="C1247" t="s">
        <v>607</v>
      </c>
      <c r="D1247" t="s">
        <v>34</v>
      </c>
      <c r="E1247" t="s">
        <v>32</v>
      </c>
      <c r="F1247">
        <v>21</v>
      </c>
      <c r="G1247">
        <v>1997</v>
      </c>
      <c r="H1247">
        <v>19</v>
      </c>
      <c r="I1247">
        <v>19</v>
      </c>
      <c r="J1247">
        <v>1710</v>
      </c>
      <c r="K1247">
        <v>1</v>
      </c>
      <c r="L1247">
        <v>5</v>
      </c>
      <c r="M1247">
        <v>1</v>
      </c>
      <c r="N1247">
        <v>0</v>
      </c>
      <c r="O1247">
        <v>0</v>
      </c>
      <c r="P1247">
        <v>3</v>
      </c>
      <c r="Q1247">
        <v>0</v>
      </c>
      <c r="R1247">
        <f t="shared" si="38"/>
        <v>6.4977257959714097E-6</v>
      </c>
      <c r="S1247" t="s">
        <v>548</v>
      </c>
      <c r="T1247">
        <v>47</v>
      </c>
      <c r="U1247" t="str">
        <f t="shared" si="39"/>
        <v>Keira Walsh:5</v>
      </c>
    </row>
    <row r="1248" spans="1:21" x14ac:dyDescent="0.2">
      <c r="A1248" t="s">
        <v>151</v>
      </c>
      <c r="B1248" t="s">
        <v>606</v>
      </c>
      <c r="C1248" t="s">
        <v>607</v>
      </c>
      <c r="D1248" t="s">
        <v>50</v>
      </c>
      <c r="E1248" t="s">
        <v>360</v>
      </c>
      <c r="F1248">
        <v>27</v>
      </c>
      <c r="G1248">
        <v>1990</v>
      </c>
      <c r="H1248">
        <v>19</v>
      </c>
      <c r="I1248">
        <v>18</v>
      </c>
      <c r="J1248">
        <v>1631</v>
      </c>
      <c r="K1248">
        <v>2</v>
      </c>
      <c r="L1248">
        <v>2</v>
      </c>
      <c r="M1248">
        <v>2</v>
      </c>
      <c r="N1248">
        <v>0</v>
      </c>
      <c r="O1248">
        <v>0</v>
      </c>
      <c r="P1248">
        <v>3</v>
      </c>
      <c r="Q1248">
        <v>0</v>
      </c>
      <c r="R1248">
        <f t="shared" si="38"/>
        <v>1.362490632876899E-5</v>
      </c>
      <c r="S1248" t="s">
        <v>548</v>
      </c>
      <c r="T1248">
        <v>40</v>
      </c>
      <c r="U1248" t="str">
        <f t="shared" si="39"/>
        <v>Kerys Harrop:2</v>
      </c>
    </row>
    <row r="1249" spans="1:21" x14ac:dyDescent="0.2">
      <c r="A1249" t="s">
        <v>199</v>
      </c>
      <c r="B1249" t="s">
        <v>652</v>
      </c>
      <c r="C1249" t="s">
        <v>653</v>
      </c>
      <c r="D1249" t="s">
        <v>34</v>
      </c>
      <c r="E1249" t="s">
        <v>27</v>
      </c>
      <c r="F1249">
        <v>28</v>
      </c>
      <c r="G1249">
        <v>1990</v>
      </c>
      <c r="H1249">
        <v>14</v>
      </c>
      <c r="I1249">
        <v>14</v>
      </c>
      <c r="J1249">
        <v>1225</v>
      </c>
      <c r="K1249">
        <v>8</v>
      </c>
      <c r="L1249">
        <v>6</v>
      </c>
      <c r="M1249">
        <v>5</v>
      </c>
      <c r="N1249">
        <v>3</v>
      </c>
      <c r="O1249">
        <v>3</v>
      </c>
      <c r="P1249">
        <v>0</v>
      </c>
      <c r="Q1249">
        <v>0</v>
      </c>
      <c r="R1249">
        <f t="shared" si="38"/>
        <v>7.256235827664399E-5</v>
      </c>
      <c r="S1249" t="s">
        <v>548</v>
      </c>
      <c r="T1249">
        <v>54</v>
      </c>
      <c r="U1249" t="str">
        <f t="shared" si="39"/>
        <v>Kim Little:6</v>
      </c>
    </row>
    <row r="1250" spans="1:21" x14ac:dyDescent="0.2">
      <c r="A1250" t="s">
        <v>198</v>
      </c>
      <c r="B1250" t="s">
        <v>606</v>
      </c>
      <c r="C1250" t="s">
        <v>607</v>
      </c>
      <c r="D1250" t="s">
        <v>40</v>
      </c>
      <c r="E1250" t="s">
        <v>55</v>
      </c>
      <c r="F1250">
        <v>21</v>
      </c>
      <c r="G1250">
        <v>1997</v>
      </c>
      <c r="H1250">
        <v>20</v>
      </c>
      <c r="I1250">
        <v>20</v>
      </c>
      <c r="J1250">
        <v>1800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1</v>
      </c>
      <c r="Q1250">
        <v>0</v>
      </c>
      <c r="R1250">
        <f t="shared" si="38"/>
        <v>0</v>
      </c>
      <c r="S1250" t="s">
        <v>548</v>
      </c>
      <c r="T1250">
        <v>12</v>
      </c>
      <c r="U1250" t="str">
        <f t="shared" si="39"/>
        <v>Kirstie Levell:0</v>
      </c>
    </row>
    <row r="1251" spans="1:21" x14ac:dyDescent="0.2">
      <c r="A1251" t="s">
        <v>430</v>
      </c>
      <c r="B1251" t="s">
        <v>606</v>
      </c>
      <c r="C1251" t="s">
        <v>607</v>
      </c>
      <c r="D1251" t="s">
        <v>50</v>
      </c>
      <c r="E1251" t="s">
        <v>48</v>
      </c>
      <c r="F1251">
        <v>26</v>
      </c>
      <c r="G1251">
        <v>1992</v>
      </c>
      <c r="H1251">
        <v>15</v>
      </c>
      <c r="I1251">
        <v>15</v>
      </c>
      <c r="J1251">
        <v>1350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1</v>
      </c>
      <c r="Q1251">
        <v>0</v>
      </c>
      <c r="R1251">
        <f t="shared" si="38"/>
        <v>0</v>
      </c>
      <c r="S1251" t="s">
        <v>548</v>
      </c>
      <c r="T1251">
        <v>16</v>
      </c>
      <c r="U1251" t="str">
        <f t="shared" si="39"/>
        <v>Kirsty Barton:0</v>
      </c>
    </row>
    <row r="1252" spans="1:21" x14ac:dyDescent="0.2">
      <c r="A1252" t="s">
        <v>523</v>
      </c>
      <c r="B1252" t="s">
        <v>606</v>
      </c>
      <c r="C1252" t="s">
        <v>607</v>
      </c>
      <c r="D1252" t="s">
        <v>26</v>
      </c>
      <c r="E1252" t="s">
        <v>65</v>
      </c>
      <c r="F1252">
        <v>24</v>
      </c>
      <c r="G1252">
        <v>1993</v>
      </c>
      <c r="H1252">
        <v>15</v>
      </c>
      <c r="I1252">
        <v>9</v>
      </c>
      <c r="J1252">
        <v>748</v>
      </c>
      <c r="K1252">
        <v>1</v>
      </c>
      <c r="L1252">
        <v>1</v>
      </c>
      <c r="M1252">
        <v>1</v>
      </c>
      <c r="N1252">
        <v>0</v>
      </c>
      <c r="O1252">
        <v>0</v>
      </c>
      <c r="P1252">
        <v>2</v>
      </c>
      <c r="Q1252">
        <v>0</v>
      </c>
      <c r="R1252">
        <f t="shared" si="38"/>
        <v>1.4854426619132501E-5</v>
      </c>
      <c r="S1252" t="s">
        <v>548</v>
      </c>
      <c r="T1252">
        <v>22</v>
      </c>
      <c r="U1252" t="str">
        <f t="shared" si="39"/>
        <v>Kirsty Linnett:1</v>
      </c>
    </row>
    <row r="1253" spans="1:21" x14ac:dyDescent="0.2">
      <c r="A1253" t="s">
        <v>589</v>
      </c>
      <c r="D1253" t="s">
        <v>50</v>
      </c>
      <c r="E1253" t="s">
        <v>35</v>
      </c>
      <c r="H1253">
        <v>18</v>
      </c>
      <c r="I1253">
        <v>17</v>
      </c>
      <c r="J1253">
        <v>1522</v>
      </c>
      <c r="K1253">
        <v>1</v>
      </c>
      <c r="L1253">
        <v>2</v>
      </c>
      <c r="M1253">
        <v>1</v>
      </c>
      <c r="N1253">
        <v>0</v>
      </c>
      <c r="O1253">
        <v>0</v>
      </c>
      <c r="P1253">
        <v>3</v>
      </c>
      <c r="Q1253">
        <v>0</v>
      </c>
      <c r="R1253">
        <f t="shared" si="38"/>
        <v>7.3003358154475106E-6</v>
      </c>
      <c r="S1253" t="s">
        <v>548</v>
      </c>
      <c r="T1253">
        <v>30</v>
      </c>
      <c r="U1253" t="str">
        <f t="shared" si="39"/>
        <v>Kirsty Pearce:2</v>
      </c>
    </row>
    <row r="1254" spans="1:21" x14ac:dyDescent="0.2">
      <c r="A1254" t="s">
        <v>96</v>
      </c>
      <c r="B1254" t="s">
        <v>606</v>
      </c>
      <c r="C1254" t="s">
        <v>607</v>
      </c>
      <c r="D1254" t="s">
        <v>34</v>
      </c>
      <c r="E1254" t="s">
        <v>65</v>
      </c>
      <c r="F1254">
        <v>27</v>
      </c>
      <c r="G1254">
        <v>1991</v>
      </c>
      <c r="H1254">
        <v>20</v>
      </c>
      <c r="I1254">
        <v>20</v>
      </c>
      <c r="J1254">
        <v>1793</v>
      </c>
      <c r="K1254">
        <v>0</v>
      </c>
      <c r="L1254">
        <v>4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f t="shared" si="38"/>
        <v>0</v>
      </c>
      <c r="S1254" t="s">
        <v>548</v>
      </c>
      <c r="T1254">
        <v>22</v>
      </c>
      <c r="U1254" t="str">
        <f t="shared" si="39"/>
        <v>Laura Coombs:4</v>
      </c>
    </row>
    <row r="1255" spans="1:21" x14ac:dyDescent="0.2">
      <c r="A1255" t="s">
        <v>570</v>
      </c>
      <c r="B1255" t="s">
        <v>606</v>
      </c>
      <c r="C1255" t="s">
        <v>607</v>
      </c>
      <c r="D1255" t="s">
        <v>40</v>
      </c>
      <c r="E1255" t="s">
        <v>48</v>
      </c>
      <c r="H1255">
        <v>1</v>
      </c>
      <c r="I1255">
        <v>1</v>
      </c>
      <c r="J1255">
        <v>90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f t="shared" si="38"/>
        <v>0</v>
      </c>
      <c r="S1255" t="s">
        <v>548</v>
      </c>
      <c r="T1255">
        <v>16</v>
      </c>
      <c r="U1255" t="str">
        <f t="shared" si="39"/>
        <v>Laura Hartley:0</v>
      </c>
    </row>
    <row r="1256" spans="1:21" x14ac:dyDescent="0.2">
      <c r="A1256" t="s">
        <v>476</v>
      </c>
      <c r="B1256" t="s">
        <v>646</v>
      </c>
      <c r="C1256" t="s">
        <v>647</v>
      </c>
      <c r="D1256" t="s">
        <v>50</v>
      </c>
      <c r="E1256" t="s">
        <v>48</v>
      </c>
      <c r="F1256">
        <v>22</v>
      </c>
      <c r="G1256">
        <v>1996</v>
      </c>
      <c r="H1256">
        <v>13</v>
      </c>
      <c r="I1256">
        <v>13</v>
      </c>
      <c r="J1256">
        <v>1170</v>
      </c>
      <c r="K1256">
        <v>1</v>
      </c>
      <c r="L1256">
        <v>2</v>
      </c>
      <c r="M1256">
        <v>1</v>
      </c>
      <c r="N1256">
        <v>0</v>
      </c>
      <c r="O1256">
        <v>0</v>
      </c>
      <c r="P1256">
        <v>2</v>
      </c>
      <c r="Q1256">
        <v>0</v>
      </c>
      <c r="R1256">
        <f t="shared" si="38"/>
        <v>9.4966761633428308E-6</v>
      </c>
      <c r="S1256" t="s">
        <v>548</v>
      </c>
      <c r="T1256">
        <v>16</v>
      </c>
      <c r="U1256" t="str">
        <f t="shared" si="39"/>
        <v>Laura Rafferty:2</v>
      </c>
    </row>
    <row r="1257" spans="1:21" x14ac:dyDescent="0.2">
      <c r="A1257" t="s">
        <v>432</v>
      </c>
      <c r="B1257" t="s">
        <v>606</v>
      </c>
      <c r="C1257" t="s">
        <v>607</v>
      </c>
      <c r="D1257" t="s">
        <v>42</v>
      </c>
      <c r="E1257" t="s">
        <v>35</v>
      </c>
      <c r="F1257">
        <v>25</v>
      </c>
      <c r="G1257">
        <v>1992</v>
      </c>
      <c r="H1257">
        <v>17</v>
      </c>
      <c r="I1257">
        <v>15</v>
      </c>
      <c r="J1257">
        <v>1323</v>
      </c>
      <c r="K1257">
        <v>3</v>
      </c>
      <c r="L1257">
        <v>0</v>
      </c>
      <c r="M1257">
        <v>2</v>
      </c>
      <c r="N1257">
        <v>1</v>
      </c>
      <c r="O1257">
        <v>1</v>
      </c>
      <c r="P1257">
        <v>1</v>
      </c>
      <c r="Q1257">
        <v>0</v>
      </c>
      <c r="R1257">
        <f t="shared" si="38"/>
        <v>2.5195263290501386E-5</v>
      </c>
      <c r="S1257" t="s">
        <v>548</v>
      </c>
      <c r="T1257">
        <v>30</v>
      </c>
      <c r="U1257" t="str">
        <f t="shared" si="39"/>
        <v>Lauren Bruton:0</v>
      </c>
    </row>
    <row r="1258" spans="1:21" x14ac:dyDescent="0.2">
      <c r="A1258" t="s">
        <v>154</v>
      </c>
      <c r="B1258" t="s">
        <v>606</v>
      </c>
      <c r="C1258" t="s">
        <v>607</v>
      </c>
      <c r="D1258" t="s">
        <v>42</v>
      </c>
      <c r="E1258" t="s">
        <v>32</v>
      </c>
      <c r="F1258">
        <v>17</v>
      </c>
      <c r="G1258">
        <v>2000</v>
      </c>
      <c r="H1258">
        <v>10</v>
      </c>
      <c r="I1258">
        <v>7</v>
      </c>
      <c r="J1258">
        <v>603</v>
      </c>
      <c r="K1258">
        <v>2</v>
      </c>
      <c r="L1258">
        <v>1</v>
      </c>
      <c r="M1258">
        <v>2</v>
      </c>
      <c r="N1258">
        <v>0</v>
      </c>
      <c r="O1258">
        <v>0</v>
      </c>
      <c r="P1258">
        <v>1</v>
      </c>
      <c r="Q1258">
        <v>0</v>
      </c>
      <c r="R1258">
        <f t="shared" si="38"/>
        <v>3.685277317118113E-5</v>
      </c>
      <c r="S1258" t="s">
        <v>548</v>
      </c>
      <c r="T1258">
        <v>47</v>
      </c>
      <c r="U1258" t="str">
        <f t="shared" si="39"/>
        <v>Lauren Hemp:1</v>
      </c>
    </row>
    <row r="1259" spans="1:21" x14ac:dyDescent="0.2">
      <c r="A1259" t="s">
        <v>601</v>
      </c>
      <c r="B1259" t="s">
        <v>606</v>
      </c>
      <c r="C1259" t="s">
        <v>607</v>
      </c>
      <c r="D1259" t="s">
        <v>23</v>
      </c>
      <c r="E1259" t="s">
        <v>65</v>
      </c>
      <c r="H1259">
        <v>2</v>
      </c>
      <c r="I1259">
        <v>0</v>
      </c>
      <c r="J1259">
        <v>22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f t="shared" si="38"/>
        <v>0</v>
      </c>
      <c r="S1259" t="s">
        <v>548</v>
      </c>
      <c r="T1259">
        <v>22</v>
      </c>
      <c r="U1259" t="str">
        <f t="shared" si="39"/>
        <v>Lauren Thomas:0</v>
      </c>
    </row>
    <row r="1260" spans="1:21" x14ac:dyDescent="0.2">
      <c r="A1260" t="s">
        <v>557</v>
      </c>
      <c r="B1260" t="s">
        <v>606</v>
      </c>
      <c r="C1260" t="s">
        <v>607</v>
      </c>
      <c r="D1260" t="s">
        <v>34</v>
      </c>
      <c r="E1260" t="s">
        <v>547</v>
      </c>
      <c r="H1260">
        <v>3</v>
      </c>
      <c r="I1260">
        <v>0</v>
      </c>
      <c r="J1260">
        <v>27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f t="shared" si="38"/>
        <v>0</v>
      </c>
      <c r="S1260" t="s">
        <v>548</v>
      </c>
      <c r="T1260">
        <v>-3</v>
      </c>
      <c r="U1260" t="str">
        <f t="shared" si="39"/>
        <v>Leah Burridge:0</v>
      </c>
    </row>
    <row r="1261" spans="1:21" x14ac:dyDescent="0.2">
      <c r="A1261" t="s">
        <v>330</v>
      </c>
      <c r="B1261" t="s">
        <v>606</v>
      </c>
      <c r="C1261" t="s">
        <v>607</v>
      </c>
      <c r="D1261" t="s">
        <v>50</v>
      </c>
      <c r="E1261" t="s">
        <v>27</v>
      </c>
      <c r="F1261">
        <v>21</v>
      </c>
      <c r="G1261">
        <v>1997</v>
      </c>
      <c r="H1261">
        <v>19</v>
      </c>
      <c r="I1261">
        <v>18</v>
      </c>
      <c r="J1261">
        <v>1602</v>
      </c>
      <c r="K1261">
        <v>1</v>
      </c>
      <c r="L1261">
        <v>2</v>
      </c>
      <c r="M1261">
        <v>1</v>
      </c>
      <c r="N1261">
        <v>0</v>
      </c>
      <c r="O1261">
        <v>0</v>
      </c>
      <c r="P1261">
        <v>1</v>
      </c>
      <c r="Q1261">
        <v>0</v>
      </c>
      <c r="R1261">
        <f t="shared" si="38"/>
        <v>6.9357747260368982E-6</v>
      </c>
      <c r="S1261" t="s">
        <v>548</v>
      </c>
      <c r="T1261">
        <v>54</v>
      </c>
      <c r="U1261" t="str">
        <f t="shared" si="39"/>
        <v>Leah Williamson:2</v>
      </c>
    </row>
    <row r="1262" spans="1:21" x14ac:dyDescent="0.2">
      <c r="A1262" t="s">
        <v>583</v>
      </c>
      <c r="B1262" t="s">
        <v>606</v>
      </c>
      <c r="C1262" t="s">
        <v>607</v>
      </c>
      <c r="D1262" t="s">
        <v>19</v>
      </c>
      <c r="E1262" t="s">
        <v>65</v>
      </c>
      <c r="F1262">
        <v>33</v>
      </c>
      <c r="G1262">
        <v>1984</v>
      </c>
      <c r="H1262">
        <v>11</v>
      </c>
      <c r="I1262">
        <v>5</v>
      </c>
      <c r="J1262">
        <v>454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1</v>
      </c>
      <c r="Q1262">
        <v>0</v>
      </c>
      <c r="R1262">
        <f t="shared" si="38"/>
        <v>0</v>
      </c>
      <c r="S1262" t="s">
        <v>548</v>
      </c>
      <c r="T1262">
        <v>22</v>
      </c>
      <c r="U1262" t="str">
        <f t="shared" si="39"/>
        <v>Leandra Little:0</v>
      </c>
    </row>
    <row r="1263" spans="1:21" x14ac:dyDescent="0.2">
      <c r="A1263" t="s">
        <v>180</v>
      </c>
      <c r="B1263" t="s">
        <v>632</v>
      </c>
      <c r="C1263" t="s">
        <v>633</v>
      </c>
      <c r="D1263" t="s">
        <v>42</v>
      </c>
      <c r="E1263" t="s">
        <v>24</v>
      </c>
      <c r="F1263">
        <v>19</v>
      </c>
      <c r="G1263">
        <v>1999</v>
      </c>
      <c r="H1263">
        <v>15</v>
      </c>
      <c r="I1263">
        <v>10</v>
      </c>
      <c r="J1263">
        <v>917</v>
      </c>
      <c r="K1263">
        <v>2</v>
      </c>
      <c r="L1263">
        <v>1</v>
      </c>
      <c r="M1263">
        <v>2</v>
      </c>
      <c r="N1263">
        <v>0</v>
      </c>
      <c r="O1263">
        <v>0</v>
      </c>
      <c r="P1263">
        <v>2</v>
      </c>
      <c r="Q1263">
        <v>0</v>
      </c>
      <c r="R1263">
        <f t="shared" si="38"/>
        <v>2.4233612019871563E-5</v>
      </c>
      <c r="S1263" t="s">
        <v>548</v>
      </c>
      <c r="T1263">
        <v>23</v>
      </c>
      <c r="U1263" t="str">
        <f t="shared" si="39"/>
        <v>Leanne Kiernan:1</v>
      </c>
    </row>
    <row r="1264" spans="1:21" x14ac:dyDescent="0.2">
      <c r="A1264" t="s">
        <v>260</v>
      </c>
      <c r="B1264" t="s">
        <v>606</v>
      </c>
      <c r="C1264" t="s">
        <v>607</v>
      </c>
      <c r="D1264" t="s">
        <v>50</v>
      </c>
      <c r="E1264" t="s">
        <v>65</v>
      </c>
      <c r="F1264">
        <v>24</v>
      </c>
      <c r="G1264">
        <v>1993</v>
      </c>
      <c r="H1264">
        <v>19</v>
      </c>
      <c r="I1264">
        <v>19</v>
      </c>
      <c r="J1264">
        <v>1710</v>
      </c>
      <c r="K1264">
        <v>0</v>
      </c>
      <c r="L1264">
        <v>1</v>
      </c>
      <c r="M1264">
        <v>0</v>
      </c>
      <c r="N1264">
        <v>0</v>
      </c>
      <c r="O1264">
        <v>0</v>
      </c>
      <c r="P1264">
        <v>1</v>
      </c>
      <c r="Q1264">
        <v>0</v>
      </c>
      <c r="R1264">
        <f t="shared" si="38"/>
        <v>0</v>
      </c>
      <c r="S1264" t="s">
        <v>548</v>
      </c>
      <c r="T1264">
        <v>22</v>
      </c>
      <c r="U1264" t="str">
        <f t="shared" si="39"/>
        <v>Leigh-Anne Robe:1</v>
      </c>
    </row>
    <row r="1265" spans="1:21" x14ac:dyDescent="0.2">
      <c r="A1265" t="s">
        <v>320</v>
      </c>
      <c r="B1265" t="s">
        <v>614</v>
      </c>
      <c r="C1265" t="s">
        <v>615</v>
      </c>
      <c r="D1265" t="s">
        <v>34</v>
      </c>
      <c r="E1265" t="s">
        <v>27</v>
      </c>
      <c r="F1265">
        <v>25</v>
      </c>
      <c r="G1265">
        <v>1993</v>
      </c>
      <c r="H1265">
        <v>12</v>
      </c>
      <c r="I1265">
        <v>12</v>
      </c>
      <c r="J1265">
        <v>1058</v>
      </c>
      <c r="K1265">
        <v>0</v>
      </c>
      <c r="L1265">
        <v>1</v>
      </c>
      <c r="M1265">
        <v>0</v>
      </c>
      <c r="N1265">
        <v>0</v>
      </c>
      <c r="O1265">
        <v>0</v>
      </c>
      <c r="P1265">
        <v>1</v>
      </c>
      <c r="Q1265">
        <v>0</v>
      </c>
      <c r="R1265">
        <f t="shared" si="38"/>
        <v>0</v>
      </c>
      <c r="S1265" t="s">
        <v>548</v>
      </c>
      <c r="T1265">
        <v>54</v>
      </c>
      <c r="U1265" t="str">
        <f t="shared" si="39"/>
        <v>Lia Wälti:1</v>
      </c>
    </row>
    <row r="1266" spans="1:21" x14ac:dyDescent="0.2">
      <c r="A1266" t="s">
        <v>591</v>
      </c>
      <c r="B1266" t="s">
        <v>624</v>
      </c>
      <c r="C1266" t="s">
        <v>625</v>
      </c>
      <c r="D1266" t="s">
        <v>26</v>
      </c>
      <c r="E1266" t="s">
        <v>547</v>
      </c>
      <c r="F1266">
        <v>20</v>
      </c>
      <c r="G1266">
        <v>1997</v>
      </c>
      <c r="H1266">
        <v>1</v>
      </c>
      <c r="I1266">
        <v>0</v>
      </c>
      <c r="J1266">
        <v>2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f t="shared" si="38"/>
        <v>0</v>
      </c>
      <c r="S1266" t="s">
        <v>548</v>
      </c>
      <c r="T1266">
        <v>-3</v>
      </c>
      <c r="U1266" t="str">
        <f t="shared" si="39"/>
        <v>Liberty Piggott:0</v>
      </c>
    </row>
    <row r="1267" spans="1:21" x14ac:dyDescent="0.2">
      <c r="A1267" t="s">
        <v>331</v>
      </c>
      <c r="B1267" t="s">
        <v>624</v>
      </c>
      <c r="C1267" t="s">
        <v>625</v>
      </c>
      <c r="D1267" t="s">
        <v>29</v>
      </c>
      <c r="E1267" t="s">
        <v>35</v>
      </c>
      <c r="F1267">
        <v>17</v>
      </c>
      <c r="G1267">
        <v>2000</v>
      </c>
      <c r="H1267">
        <v>4</v>
      </c>
      <c r="I1267">
        <v>1</v>
      </c>
      <c r="J1267">
        <v>150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f t="shared" si="38"/>
        <v>0</v>
      </c>
      <c r="S1267" t="s">
        <v>548</v>
      </c>
      <c r="T1267">
        <v>30</v>
      </c>
      <c r="U1267" t="str">
        <f t="shared" si="39"/>
        <v>Lily Woodham:0</v>
      </c>
    </row>
    <row r="1268" spans="1:21" x14ac:dyDescent="0.2">
      <c r="A1268" t="s">
        <v>114</v>
      </c>
      <c r="B1268" t="s">
        <v>652</v>
      </c>
      <c r="C1268" t="s">
        <v>653</v>
      </c>
      <c r="D1268" t="s">
        <v>19</v>
      </c>
      <c r="E1268" t="s">
        <v>27</v>
      </c>
      <c r="F1268">
        <v>26</v>
      </c>
      <c r="G1268">
        <v>1992</v>
      </c>
      <c r="H1268">
        <v>18</v>
      </c>
      <c r="I1268">
        <v>16</v>
      </c>
      <c r="J1268">
        <v>1412</v>
      </c>
      <c r="K1268">
        <v>1</v>
      </c>
      <c r="L1268">
        <v>2</v>
      </c>
      <c r="M1268">
        <v>1</v>
      </c>
      <c r="N1268">
        <v>0</v>
      </c>
      <c r="O1268">
        <v>0</v>
      </c>
      <c r="P1268">
        <v>0</v>
      </c>
      <c r="Q1268">
        <v>0</v>
      </c>
      <c r="R1268">
        <f t="shared" si="38"/>
        <v>7.8690588605602776E-6</v>
      </c>
      <c r="S1268" t="s">
        <v>548</v>
      </c>
      <c r="T1268">
        <v>54</v>
      </c>
      <c r="U1268" t="str">
        <f t="shared" si="39"/>
        <v>Lisa Evans:2</v>
      </c>
    </row>
    <row r="1269" spans="1:21" x14ac:dyDescent="0.2">
      <c r="A1269" t="s">
        <v>509</v>
      </c>
      <c r="B1269" t="s">
        <v>624</v>
      </c>
      <c r="C1269" t="s">
        <v>625</v>
      </c>
      <c r="D1269" t="s">
        <v>50</v>
      </c>
      <c r="E1269" t="s">
        <v>426</v>
      </c>
      <c r="F1269">
        <v>30</v>
      </c>
      <c r="G1269">
        <v>1988</v>
      </c>
      <c r="H1269">
        <v>19</v>
      </c>
      <c r="I1269">
        <v>19</v>
      </c>
      <c r="J1269">
        <v>1710</v>
      </c>
      <c r="K1269">
        <v>0</v>
      </c>
      <c r="L1269">
        <v>1</v>
      </c>
      <c r="M1269">
        <v>0</v>
      </c>
      <c r="N1269">
        <v>0</v>
      </c>
      <c r="O1269">
        <v>0</v>
      </c>
      <c r="P1269">
        <v>1</v>
      </c>
      <c r="Q1269">
        <v>0</v>
      </c>
      <c r="R1269">
        <f t="shared" si="38"/>
        <v>0</v>
      </c>
      <c r="S1269" t="s">
        <v>548</v>
      </c>
      <c r="T1269">
        <v>25</v>
      </c>
      <c r="U1269" t="str">
        <f t="shared" si="39"/>
        <v>Loren Dykes:1</v>
      </c>
    </row>
    <row r="1270" spans="1:21" x14ac:dyDescent="0.2">
      <c r="A1270" t="s">
        <v>398</v>
      </c>
      <c r="B1270" t="s">
        <v>632</v>
      </c>
      <c r="C1270" t="s">
        <v>633</v>
      </c>
      <c r="D1270" t="s">
        <v>50</v>
      </c>
      <c r="E1270" t="s">
        <v>27</v>
      </c>
      <c r="F1270">
        <v>28</v>
      </c>
      <c r="G1270">
        <v>1990</v>
      </c>
      <c r="H1270">
        <v>19</v>
      </c>
      <c r="I1270">
        <v>17</v>
      </c>
      <c r="J1270">
        <v>1544</v>
      </c>
      <c r="K1270">
        <v>1</v>
      </c>
      <c r="L1270">
        <v>1</v>
      </c>
      <c r="M1270">
        <v>1</v>
      </c>
      <c r="N1270">
        <v>0</v>
      </c>
      <c r="O1270">
        <v>0</v>
      </c>
      <c r="P1270">
        <v>0</v>
      </c>
      <c r="Q1270">
        <v>0</v>
      </c>
      <c r="R1270">
        <f t="shared" si="38"/>
        <v>7.1963154864709271E-6</v>
      </c>
      <c r="S1270" t="s">
        <v>548</v>
      </c>
      <c r="T1270">
        <v>54</v>
      </c>
      <c r="U1270" t="str">
        <f t="shared" si="39"/>
        <v>Louise Quinn:1</v>
      </c>
    </row>
    <row r="1271" spans="1:21" x14ac:dyDescent="0.2">
      <c r="A1271" t="s">
        <v>593</v>
      </c>
      <c r="B1271" t="s">
        <v>626</v>
      </c>
      <c r="C1271" t="s">
        <v>627</v>
      </c>
      <c r="D1271" t="s">
        <v>94</v>
      </c>
      <c r="E1271" t="s">
        <v>24</v>
      </c>
      <c r="F1271">
        <v>27</v>
      </c>
      <c r="G1271">
        <v>1991</v>
      </c>
      <c r="H1271">
        <v>12</v>
      </c>
      <c r="I1271">
        <v>10</v>
      </c>
      <c r="J1271">
        <v>771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2</v>
      </c>
      <c r="Q1271">
        <v>0</v>
      </c>
      <c r="R1271">
        <f t="shared" si="38"/>
        <v>0</v>
      </c>
      <c r="S1271" t="s">
        <v>548</v>
      </c>
      <c r="T1271">
        <v>23</v>
      </c>
      <c r="U1271" t="str">
        <f t="shared" si="39"/>
        <v>Lucienne Reichardt:0</v>
      </c>
    </row>
    <row r="1272" spans="1:21" x14ac:dyDescent="0.2">
      <c r="A1272" t="s">
        <v>567</v>
      </c>
      <c r="B1272" t="s">
        <v>606</v>
      </c>
      <c r="C1272" t="s">
        <v>607</v>
      </c>
      <c r="D1272" t="s">
        <v>40</v>
      </c>
      <c r="E1272" t="s">
        <v>48</v>
      </c>
      <c r="H1272">
        <v>2</v>
      </c>
      <c r="I1272">
        <v>2</v>
      </c>
      <c r="J1272">
        <v>180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f t="shared" si="38"/>
        <v>0</v>
      </c>
      <c r="S1272" t="s">
        <v>548</v>
      </c>
      <c r="T1272">
        <v>16</v>
      </c>
      <c r="U1272" t="str">
        <f t="shared" si="39"/>
        <v>Lucy Gillett:0</v>
      </c>
    </row>
    <row r="1273" spans="1:21" x14ac:dyDescent="0.2">
      <c r="A1273" t="s">
        <v>140</v>
      </c>
      <c r="B1273" t="s">
        <v>652</v>
      </c>
      <c r="C1273" t="s">
        <v>653</v>
      </c>
      <c r="D1273" t="s">
        <v>23</v>
      </c>
      <c r="E1273" t="s">
        <v>426</v>
      </c>
      <c r="F1273">
        <v>21</v>
      </c>
      <c r="G1273">
        <v>1996</v>
      </c>
      <c r="H1273">
        <v>19</v>
      </c>
      <c r="I1273">
        <v>19</v>
      </c>
      <c r="J1273">
        <v>1709</v>
      </c>
      <c r="K1273">
        <v>7</v>
      </c>
      <c r="L1273">
        <v>2</v>
      </c>
      <c r="M1273">
        <v>5</v>
      </c>
      <c r="N1273">
        <v>2</v>
      </c>
      <c r="O1273">
        <v>2</v>
      </c>
      <c r="P1273">
        <v>1</v>
      </c>
      <c r="Q1273">
        <v>0</v>
      </c>
      <c r="R1273">
        <f t="shared" si="38"/>
        <v>4.5510695013328135E-5</v>
      </c>
      <c r="S1273" t="s">
        <v>548</v>
      </c>
      <c r="T1273">
        <v>25</v>
      </c>
      <c r="U1273" t="str">
        <f t="shared" si="39"/>
        <v>Lucy Graham:2</v>
      </c>
    </row>
    <row r="1274" spans="1:21" x14ac:dyDescent="0.2">
      <c r="A1274" t="s">
        <v>399</v>
      </c>
      <c r="B1274" t="s">
        <v>632</v>
      </c>
      <c r="C1274" t="s">
        <v>633</v>
      </c>
      <c r="D1274" t="s">
        <v>42</v>
      </c>
      <c r="E1274" t="s">
        <v>360</v>
      </c>
      <c r="F1274">
        <v>24</v>
      </c>
      <c r="G1274">
        <v>1993</v>
      </c>
      <c r="H1274">
        <v>13</v>
      </c>
      <c r="I1274">
        <v>6</v>
      </c>
      <c r="J1274">
        <v>582</v>
      </c>
      <c r="K1274">
        <v>1</v>
      </c>
      <c r="L1274">
        <v>2</v>
      </c>
      <c r="M1274">
        <v>1</v>
      </c>
      <c r="N1274">
        <v>0</v>
      </c>
      <c r="O1274">
        <v>0</v>
      </c>
      <c r="P1274">
        <v>0</v>
      </c>
      <c r="Q1274">
        <v>0</v>
      </c>
      <c r="R1274">
        <f t="shared" si="38"/>
        <v>1.9091256204658265E-5</v>
      </c>
      <c r="S1274" t="s">
        <v>548</v>
      </c>
      <c r="T1274">
        <v>40</v>
      </c>
      <c r="U1274" t="str">
        <f t="shared" si="39"/>
        <v>Lucy Quinn:2</v>
      </c>
    </row>
    <row r="1275" spans="1:21" x14ac:dyDescent="0.2">
      <c r="A1275" t="s">
        <v>287</v>
      </c>
      <c r="B1275" t="s">
        <v>606</v>
      </c>
      <c r="C1275" t="s">
        <v>607</v>
      </c>
      <c r="D1275" t="s">
        <v>23</v>
      </c>
      <c r="E1275" t="s">
        <v>360</v>
      </c>
      <c r="F1275">
        <v>25</v>
      </c>
      <c r="G1275">
        <v>1992</v>
      </c>
      <c r="H1275">
        <v>19</v>
      </c>
      <c r="I1275">
        <v>18</v>
      </c>
      <c r="J1275">
        <v>1618</v>
      </c>
      <c r="K1275">
        <v>2</v>
      </c>
      <c r="L1275">
        <v>5</v>
      </c>
      <c r="M1275">
        <v>2</v>
      </c>
      <c r="N1275">
        <v>0</v>
      </c>
      <c r="O1275">
        <v>0</v>
      </c>
      <c r="P1275">
        <v>1</v>
      </c>
      <c r="Q1275">
        <v>0</v>
      </c>
      <c r="R1275">
        <f t="shared" si="38"/>
        <v>1.3734377145996427E-5</v>
      </c>
      <c r="S1275" t="s">
        <v>548</v>
      </c>
      <c r="T1275">
        <v>40</v>
      </c>
      <c r="U1275" t="str">
        <f t="shared" si="39"/>
        <v>Lucy Staniforth:5</v>
      </c>
    </row>
    <row r="1276" spans="1:21" x14ac:dyDescent="0.2">
      <c r="A1276" t="s">
        <v>112</v>
      </c>
      <c r="B1276" t="s">
        <v>658</v>
      </c>
      <c r="C1276" t="s">
        <v>659</v>
      </c>
      <c r="D1276" t="s">
        <v>50</v>
      </c>
      <c r="E1276" t="s">
        <v>20</v>
      </c>
      <c r="F1276">
        <v>24</v>
      </c>
      <c r="G1276">
        <v>1993</v>
      </c>
      <c r="H1276">
        <v>19</v>
      </c>
      <c r="I1276">
        <v>19</v>
      </c>
      <c r="J1276">
        <v>1710</v>
      </c>
      <c r="K1276">
        <v>2</v>
      </c>
      <c r="L1276">
        <v>1</v>
      </c>
      <c r="M1276">
        <v>2</v>
      </c>
      <c r="N1276">
        <v>0</v>
      </c>
      <c r="O1276">
        <v>0</v>
      </c>
      <c r="P1276">
        <v>3</v>
      </c>
      <c r="Q1276">
        <v>0</v>
      </c>
      <c r="R1276">
        <f t="shared" si="38"/>
        <v>1.2995451591942819E-5</v>
      </c>
      <c r="S1276" t="s">
        <v>548</v>
      </c>
      <c r="T1276">
        <v>42</v>
      </c>
      <c r="U1276" t="str">
        <f t="shared" si="39"/>
        <v>Magdalena Eriksson:1</v>
      </c>
    </row>
    <row r="1277" spans="1:21" x14ac:dyDescent="0.2">
      <c r="A1277" t="s">
        <v>219</v>
      </c>
      <c r="B1277" t="s">
        <v>618</v>
      </c>
      <c r="C1277" t="s">
        <v>619</v>
      </c>
      <c r="D1277" t="s">
        <v>29</v>
      </c>
      <c r="E1277" t="s">
        <v>20</v>
      </c>
      <c r="F1277">
        <v>28</v>
      </c>
      <c r="G1277">
        <v>1989</v>
      </c>
      <c r="H1277">
        <v>7</v>
      </c>
      <c r="I1277">
        <v>6</v>
      </c>
      <c r="J1277">
        <v>561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1</v>
      </c>
      <c r="Q1277">
        <v>0</v>
      </c>
      <c r="R1277">
        <f t="shared" si="38"/>
        <v>0</v>
      </c>
      <c r="S1277" t="s">
        <v>548</v>
      </c>
      <c r="T1277">
        <v>42</v>
      </c>
      <c r="U1277" t="str">
        <f t="shared" si="39"/>
        <v>Maren Mjelde:0</v>
      </c>
    </row>
    <row r="1278" spans="1:21" x14ac:dyDescent="0.2">
      <c r="A1278" t="s">
        <v>303</v>
      </c>
      <c r="B1278" t="s">
        <v>618</v>
      </c>
      <c r="C1278" t="s">
        <v>619</v>
      </c>
      <c r="D1278" t="s">
        <v>94</v>
      </c>
      <c r="E1278" t="s">
        <v>20</v>
      </c>
      <c r="F1278">
        <v>25</v>
      </c>
      <c r="G1278">
        <v>1993</v>
      </c>
      <c r="H1278">
        <v>5</v>
      </c>
      <c r="I1278">
        <v>3</v>
      </c>
      <c r="J1278">
        <v>309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1</v>
      </c>
      <c r="Q1278">
        <v>0</v>
      </c>
      <c r="R1278">
        <f t="shared" si="38"/>
        <v>0</v>
      </c>
      <c r="S1278" t="s">
        <v>548</v>
      </c>
      <c r="T1278">
        <v>42</v>
      </c>
      <c r="U1278" t="str">
        <f t="shared" si="39"/>
        <v>Maria Thorisdottir:0</v>
      </c>
    </row>
    <row r="1279" spans="1:21" x14ac:dyDescent="0.2">
      <c r="A1279" t="s">
        <v>383</v>
      </c>
      <c r="B1279" t="s">
        <v>632</v>
      </c>
      <c r="C1279" t="s">
        <v>633</v>
      </c>
      <c r="D1279" t="s">
        <v>40</v>
      </c>
      <c r="E1279" t="s">
        <v>48</v>
      </c>
      <c r="F1279">
        <v>31</v>
      </c>
      <c r="G1279">
        <v>1987</v>
      </c>
      <c r="H1279">
        <v>14</v>
      </c>
      <c r="I1279">
        <v>14</v>
      </c>
      <c r="J1279">
        <v>1205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f t="shared" si="38"/>
        <v>0</v>
      </c>
      <c r="S1279" t="s">
        <v>548</v>
      </c>
      <c r="T1279">
        <v>16</v>
      </c>
      <c r="U1279" t="str">
        <f t="shared" si="39"/>
        <v>Marie Hourihan:0</v>
      </c>
    </row>
    <row r="1280" spans="1:21" x14ac:dyDescent="0.2">
      <c r="A1280" t="s">
        <v>366</v>
      </c>
      <c r="B1280" t="s">
        <v>630</v>
      </c>
      <c r="C1280" t="s">
        <v>631</v>
      </c>
      <c r="D1280" t="s">
        <v>34</v>
      </c>
      <c r="E1280" t="s">
        <v>360</v>
      </c>
      <c r="F1280">
        <v>29</v>
      </c>
      <c r="G1280">
        <v>1989</v>
      </c>
      <c r="H1280">
        <v>8</v>
      </c>
      <c r="I1280">
        <v>8</v>
      </c>
      <c r="J1280">
        <v>597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f t="shared" si="38"/>
        <v>0</v>
      </c>
      <c r="S1280" t="s">
        <v>548</v>
      </c>
      <c r="T1280">
        <v>40</v>
      </c>
      <c r="U1280" t="str">
        <f t="shared" si="39"/>
        <v>Marisa Ewers:0</v>
      </c>
    </row>
    <row r="1281" spans="1:21" x14ac:dyDescent="0.2">
      <c r="A1281" t="s">
        <v>192</v>
      </c>
      <c r="B1281" t="s">
        <v>606</v>
      </c>
      <c r="C1281" t="s">
        <v>607</v>
      </c>
      <c r="D1281" t="s">
        <v>34</v>
      </c>
      <c r="E1281" t="s">
        <v>48</v>
      </c>
      <c r="F1281">
        <v>16</v>
      </c>
      <c r="G1281">
        <v>2002</v>
      </c>
      <c r="H1281">
        <v>2</v>
      </c>
      <c r="I1281">
        <v>1</v>
      </c>
      <c r="J1281">
        <v>123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f t="shared" si="38"/>
        <v>0</v>
      </c>
      <c r="S1281" t="s">
        <v>548</v>
      </c>
      <c r="T1281">
        <v>16</v>
      </c>
      <c r="U1281" t="str">
        <f t="shared" si="39"/>
        <v>Maya Le Tissier:0</v>
      </c>
    </row>
    <row r="1282" spans="1:21" x14ac:dyDescent="0.2">
      <c r="A1282" t="s">
        <v>235</v>
      </c>
      <c r="B1282" t="s">
        <v>606</v>
      </c>
      <c r="C1282" t="s">
        <v>607</v>
      </c>
      <c r="D1282" t="s">
        <v>50</v>
      </c>
      <c r="E1282" t="s">
        <v>35</v>
      </c>
      <c r="F1282">
        <v>19</v>
      </c>
      <c r="G1282">
        <v>1998</v>
      </c>
      <c r="H1282">
        <v>16</v>
      </c>
      <c r="I1282">
        <v>14</v>
      </c>
      <c r="J1282">
        <v>1261</v>
      </c>
      <c r="K1282">
        <v>0</v>
      </c>
      <c r="L1282">
        <v>1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f t="shared" si="38"/>
        <v>0</v>
      </c>
      <c r="S1282" t="s">
        <v>548</v>
      </c>
      <c r="T1282">
        <v>30</v>
      </c>
      <c r="U1282" t="str">
        <f t="shared" si="39"/>
        <v>Mayumi Pacheco:1</v>
      </c>
    </row>
    <row r="1283" spans="1:21" x14ac:dyDescent="0.2">
      <c r="A1283" t="s">
        <v>405</v>
      </c>
      <c r="B1283" t="s">
        <v>606</v>
      </c>
      <c r="C1283" t="s">
        <v>607</v>
      </c>
      <c r="D1283" t="s">
        <v>50</v>
      </c>
      <c r="E1283" t="s">
        <v>360</v>
      </c>
      <c r="F1283">
        <v>24</v>
      </c>
      <c r="G1283">
        <v>1994</v>
      </c>
      <c r="H1283">
        <v>19</v>
      </c>
      <c r="I1283">
        <v>17</v>
      </c>
      <c r="J1283">
        <v>1520</v>
      </c>
      <c r="K1283">
        <v>3</v>
      </c>
      <c r="L1283">
        <v>0</v>
      </c>
      <c r="M1283">
        <v>3</v>
      </c>
      <c r="N1283">
        <v>0</v>
      </c>
      <c r="O1283">
        <v>0</v>
      </c>
      <c r="P1283">
        <v>0</v>
      </c>
      <c r="Q1283">
        <v>0</v>
      </c>
      <c r="R1283">
        <f t="shared" ref="R1283:R1346" si="40">K1283/J1283/90</f>
        <v>2.1929824561403511E-5</v>
      </c>
      <c r="S1283" t="s">
        <v>548</v>
      </c>
      <c r="T1283">
        <v>40</v>
      </c>
      <c r="U1283" t="str">
        <f t="shared" ref="U1283:U1346" si="41">CONCATENATE(A1283, ":", L1283)</f>
        <v>Meaghan Sargeant:0</v>
      </c>
    </row>
    <row r="1284" spans="1:21" x14ac:dyDescent="0.2">
      <c r="A1284" t="s">
        <v>549</v>
      </c>
      <c r="B1284" t="s">
        <v>606</v>
      </c>
      <c r="C1284" t="s">
        <v>607</v>
      </c>
      <c r="D1284" t="s">
        <v>50</v>
      </c>
      <c r="E1284" t="s">
        <v>547</v>
      </c>
      <c r="F1284">
        <v>24</v>
      </c>
      <c r="G1284">
        <v>1993</v>
      </c>
      <c r="H1284">
        <v>20</v>
      </c>
      <c r="I1284">
        <v>20</v>
      </c>
      <c r="J1284">
        <v>1800</v>
      </c>
      <c r="K1284">
        <v>1</v>
      </c>
      <c r="L1284">
        <v>1</v>
      </c>
      <c r="M1284">
        <v>1</v>
      </c>
      <c r="N1284">
        <v>0</v>
      </c>
      <c r="O1284">
        <v>0</v>
      </c>
      <c r="P1284">
        <v>2</v>
      </c>
      <c r="Q1284">
        <v>0</v>
      </c>
      <c r="R1284">
        <f t="shared" si="40"/>
        <v>6.1728395061728391E-6</v>
      </c>
      <c r="S1284" t="s">
        <v>548</v>
      </c>
      <c r="T1284">
        <v>-3</v>
      </c>
      <c r="U1284" t="str">
        <f t="shared" si="41"/>
        <v>Megan Alexander:1</v>
      </c>
    </row>
    <row r="1285" spans="1:21" x14ac:dyDescent="0.2">
      <c r="A1285" t="s">
        <v>80</v>
      </c>
      <c r="B1285" t="s">
        <v>632</v>
      </c>
      <c r="C1285" t="s">
        <v>633</v>
      </c>
      <c r="D1285" t="s">
        <v>50</v>
      </c>
      <c r="E1285" t="s">
        <v>32</v>
      </c>
      <c r="F1285">
        <v>25</v>
      </c>
      <c r="G1285">
        <v>1993</v>
      </c>
      <c r="H1285">
        <v>4</v>
      </c>
      <c r="I1285">
        <v>2</v>
      </c>
      <c r="J1285">
        <v>181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1</v>
      </c>
      <c r="Q1285">
        <v>0</v>
      </c>
      <c r="R1285">
        <f t="shared" si="40"/>
        <v>0</v>
      </c>
      <c r="S1285" t="s">
        <v>548</v>
      </c>
      <c r="T1285">
        <v>47</v>
      </c>
      <c r="U1285" t="str">
        <f t="shared" si="41"/>
        <v>Megan Campbell:0</v>
      </c>
    </row>
    <row r="1286" spans="1:21" x14ac:dyDescent="0.2">
      <c r="A1286" t="s">
        <v>93</v>
      </c>
      <c r="B1286" t="s">
        <v>632</v>
      </c>
      <c r="C1286" t="s">
        <v>633</v>
      </c>
      <c r="D1286" t="s">
        <v>34</v>
      </c>
      <c r="E1286" t="s">
        <v>48</v>
      </c>
      <c r="F1286">
        <v>21</v>
      </c>
      <c r="G1286">
        <v>1997</v>
      </c>
      <c r="H1286">
        <v>6</v>
      </c>
      <c r="I1286">
        <v>6</v>
      </c>
      <c r="J1286">
        <v>540</v>
      </c>
      <c r="K1286">
        <v>1</v>
      </c>
      <c r="L1286">
        <v>2</v>
      </c>
      <c r="M1286">
        <v>1</v>
      </c>
      <c r="N1286">
        <v>0</v>
      </c>
      <c r="O1286">
        <v>0</v>
      </c>
      <c r="P1286">
        <v>0</v>
      </c>
      <c r="Q1286">
        <v>0</v>
      </c>
      <c r="R1286">
        <f t="shared" si="40"/>
        <v>2.05761316872428E-5</v>
      </c>
      <c r="S1286" t="s">
        <v>548</v>
      </c>
      <c r="T1286">
        <v>16</v>
      </c>
      <c r="U1286" t="str">
        <f t="shared" si="41"/>
        <v>Megan Connolly:2</v>
      </c>
    </row>
    <row r="1287" spans="1:21" x14ac:dyDescent="0.2">
      <c r="A1287" t="s">
        <v>118</v>
      </c>
      <c r="B1287" t="s">
        <v>606</v>
      </c>
      <c r="C1287" t="s">
        <v>607</v>
      </c>
      <c r="D1287" t="s">
        <v>29</v>
      </c>
      <c r="E1287" t="s">
        <v>55</v>
      </c>
      <c r="F1287">
        <v>20</v>
      </c>
      <c r="G1287">
        <v>1998</v>
      </c>
      <c r="H1287">
        <v>19</v>
      </c>
      <c r="I1287">
        <v>18</v>
      </c>
      <c r="J1287">
        <v>1654</v>
      </c>
      <c r="K1287">
        <v>0</v>
      </c>
      <c r="L1287">
        <v>1</v>
      </c>
      <c r="M1287">
        <v>0</v>
      </c>
      <c r="N1287">
        <v>0</v>
      </c>
      <c r="O1287">
        <v>0</v>
      </c>
      <c r="P1287">
        <v>3</v>
      </c>
      <c r="Q1287">
        <v>0</v>
      </c>
      <c r="R1287">
        <f t="shared" si="40"/>
        <v>0</v>
      </c>
      <c r="S1287" t="s">
        <v>548</v>
      </c>
      <c r="T1287">
        <v>12</v>
      </c>
      <c r="U1287" t="str">
        <f t="shared" si="41"/>
        <v>Megan Finnigan:1</v>
      </c>
    </row>
    <row r="1288" spans="1:21" x14ac:dyDescent="0.2">
      <c r="A1288" t="s">
        <v>319</v>
      </c>
      <c r="B1288" t="s">
        <v>632</v>
      </c>
      <c r="C1288" t="s">
        <v>633</v>
      </c>
      <c r="D1288" t="s">
        <v>40</v>
      </c>
      <c r="E1288" t="s">
        <v>547</v>
      </c>
      <c r="F1288">
        <v>23</v>
      </c>
      <c r="G1288">
        <v>1994</v>
      </c>
      <c r="H1288">
        <v>20</v>
      </c>
      <c r="I1288">
        <v>20</v>
      </c>
      <c r="J1288">
        <v>1800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1</v>
      </c>
      <c r="Q1288">
        <v>0</v>
      </c>
      <c r="R1288">
        <f t="shared" si="40"/>
        <v>0</v>
      </c>
      <c r="S1288" t="s">
        <v>548</v>
      </c>
      <c r="T1288">
        <v>-3</v>
      </c>
      <c r="U1288" t="str">
        <f t="shared" si="41"/>
        <v>Megan Walsh:0</v>
      </c>
    </row>
    <row r="1289" spans="1:21" x14ac:dyDescent="0.2">
      <c r="A1289" t="s">
        <v>117</v>
      </c>
      <c r="B1289" t="s">
        <v>606</v>
      </c>
      <c r="C1289" t="s">
        <v>607</v>
      </c>
      <c r="D1289" t="s">
        <v>26</v>
      </c>
      <c r="E1289" t="s">
        <v>27</v>
      </c>
      <c r="F1289">
        <v>16</v>
      </c>
      <c r="G1289">
        <v>2002</v>
      </c>
      <c r="H1289">
        <v>1</v>
      </c>
      <c r="I1289">
        <v>0</v>
      </c>
      <c r="J1289">
        <v>1</v>
      </c>
      <c r="K1289">
        <v>0</v>
      </c>
      <c r="L1289">
        <v>1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f t="shared" si="40"/>
        <v>0</v>
      </c>
      <c r="S1289" t="s">
        <v>548</v>
      </c>
      <c r="T1289">
        <v>54</v>
      </c>
      <c r="U1289" t="str">
        <f t="shared" si="41"/>
        <v>Melisa Filis:1</v>
      </c>
    </row>
    <row r="1290" spans="1:21" x14ac:dyDescent="0.2">
      <c r="A1290" t="s">
        <v>190</v>
      </c>
      <c r="B1290" t="s">
        <v>606</v>
      </c>
      <c r="C1290" t="s">
        <v>607</v>
      </c>
      <c r="D1290" t="s">
        <v>26</v>
      </c>
      <c r="E1290" t="s">
        <v>32</v>
      </c>
      <c r="F1290">
        <v>24</v>
      </c>
      <c r="G1290">
        <v>1994</v>
      </c>
      <c r="H1290">
        <v>4</v>
      </c>
      <c r="I1290">
        <v>3</v>
      </c>
      <c r="J1290">
        <v>217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f t="shared" si="40"/>
        <v>0</v>
      </c>
      <c r="S1290" t="s">
        <v>548</v>
      </c>
      <c r="T1290">
        <v>47</v>
      </c>
      <c r="U1290" t="str">
        <f t="shared" si="41"/>
        <v>Melissa Lawley:0</v>
      </c>
    </row>
    <row r="1291" spans="1:21" x14ac:dyDescent="0.2">
      <c r="A1291" t="s">
        <v>70</v>
      </c>
      <c r="B1291" t="s">
        <v>606</v>
      </c>
      <c r="C1291" t="s">
        <v>607</v>
      </c>
      <c r="D1291" t="s">
        <v>50</v>
      </c>
      <c r="E1291" t="s">
        <v>20</v>
      </c>
      <c r="F1291">
        <v>24</v>
      </c>
      <c r="G1291">
        <v>1993</v>
      </c>
      <c r="H1291">
        <v>16</v>
      </c>
      <c r="I1291">
        <v>16</v>
      </c>
      <c r="J1291">
        <v>1420</v>
      </c>
      <c r="K1291">
        <v>1</v>
      </c>
      <c r="L1291">
        <v>0</v>
      </c>
      <c r="M1291">
        <v>1</v>
      </c>
      <c r="N1291">
        <v>0</v>
      </c>
      <c r="O1291">
        <v>0</v>
      </c>
      <c r="P1291">
        <v>2</v>
      </c>
      <c r="Q1291">
        <v>0</v>
      </c>
      <c r="R1291">
        <f t="shared" si="40"/>
        <v>7.8247261345852896E-6</v>
      </c>
      <c r="S1291" t="s">
        <v>548</v>
      </c>
      <c r="T1291">
        <v>42</v>
      </c>
      <c r="U1291" t="str">
        <f t="shared" si="41"/>
        <v>Millie Bright:0</v>
      </c>
    </row>
    <row r="1292" spans="1:21" x14ac:dyDescent="0.2">
      <c r="A1292" t="s">
        <v>512</v>
      </c>
      <c r="B1292" t="s">
        <v>606</v>
      </c>
      <c r="C1292" t="s">
        <v>607</v>
      </c>
      <c r="D1292" t="s">
        <v>26</v>
      </c>
      <c r="E1292" t="s">
        <v>35</v>
      </c>
      <c r="F1292">
        <v>22</v>
      </c>
      <c r="G1292">
        <v>1996</v>
      </c>
      <c r="H1292">
        <v>5</v>
      </c>
      <c r="I1292">
        <v>2</v>
      </c>
      <c r="J1292">
        <v>146</v>
      </c>
      <c r="K1292">
        <v>2</v>
      </c>
      <c r="L1292">
        <v>0</v>
      </c>
      <c r="M1292">
        <v>2</v>
      </c>
      <c r="N1292">
        <v>0</v>
      </c>
      <c r="O1292">
        <v>0</v>
      </c>
      <c r="P1292">
        <v>0</v>
      </c>
      <c r="Q1292">
        <v>0</v>
      </c>
      <c r="R1292">
        <f t="shared" si="40"/>
        <v>1.5220700152207E-4</v>
      </c>
      <c r="S1292" t="s">
        <v>548</v>
      </c>
      <c r="T1292">
        <v>30</v>
      </c>
      <c r="U1292" t="str">
        <f t="shared" si="41"/>
        <v>Millie Farrow:0</v>
      </c>
    </row>
    <row r="1293" spans="1:21" x14ac:dyDescent="0.2">
      <c r="A1293" t="s">
        <v>64</v>
      </c>
      <c r="B1293" t="s">
        <v>606</v>
      </c>
      <c r="C1293" t="s">
        <v>607</v>
      </c>
      <c r="D1293" t="s">
        <v>23</v>
      </c>
      <c r="E1293" t="s">
        <v>65</v>
      </c>
      <c r="F1293">
        <v>17</v>
      </c>
      <c r="G1293">
        <v>2001</v>
      </c>
      <c r="H1293">
        <v>3</v>
      </c>
      <c r="I1293">
        <v>0</v>
      </c>
      <c r="J1293">
        <v>14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f t="shared" si="40"/>
        <v>0</v>
      </c>
      <c r="S1293" t="s">
        <v>548</v>
      </c>
      <c r="T1293">
        <v>22</v>
      </c>
      <c r="U1293" t="str">
        <f t="shared" si="41"/>
        <v>Missy Bo Kearns:0</v>
      </c>
    </row>
    <row r="1294" spans="1:21" x14ac:dyDescent="0.2">
      <c r="A1294" t="s">
        <v>49</v>
      </c>
      <c r="B1294" t="s">
        <v>606</v>
      </c>
      <c r="C1294" t="s">
        <v>607</v>
      </c>
      <c r="D1294" t="s">
        <v>29</v>
      </c>
      <c r="E1294" t="s">
        <v>35</v>
      </c>
      <c r="F1294">
        <v>22</v>
      </c>
      <c r="G1294">
        <v>1996</v>
      </c>
      <c r="H1294">
        <v>14</v>
      </c>
      <c r="I1294">
        <v>7</v>
      </c>
      <c r="J1294">
        <v>756</v>
      </c>
      <c r="K1294">
        <v>0</v>
      </c>
      <c r="L1294">
        <v>2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f t="shared" si="40"/>
        <v>0</v>
      </c>
      <c r="S1294" t="s">
        <v>548</v>
      </c>
      <c r="T1294">
        <v>30</v>
      </c>
      <c r="U1294" t="str">
        <f t="shared" si="41"/>
        <v>Molly Bartrip:2</v>
      </c>
    </row>
    <row r="1295" spans="1:21" x14ac:dyDescent="0.2">
      <c r="A1295" t="s">
        <v>565</v>
      </c>
      <c r="B1295" t="s">
        <v>682</v>
      </c>
      <c r="C1295" t="s">
        <v>683</v>
      </c>
      <c r="D1295" t="s">
        <v>34</v>
      </c>
      <c r="E1295" t="s">
        <v>547</v>
      </c>
      <c r="F1295">
        <v>26</v>
      </c>
      <c r="G1295">
        <v>1991</v>
      </c>
      <c r="H1295">
        <v>4</v>
      </c>
      <c r="I1295">
        <v>2</v>
      </c>
      <c r="J1295">
        <v>157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f t="shared" si="40"/>
        <v>0</v>
      </c>
      <c r="S1295" t="s">
        <v>548</v>
      </c>
      <c r="T1295">
        <v>-3</v>
      </c>
      <c r="U1295" t="str">
        <f t="shared" si="41"/>
        <v>Monique Fischer:0</v>
      </c>
    </row>
    <row r="1296" spans="1:21" x14ac:dyDescent="0.2">
      <c r="A1296" t="s">
        <v>587</v>
      </c>
      <c r="B1296" t="s">
        <v>620</v>
      </c>
      <c r="C1296" t="s">
        <v>621</v>
      </c>
      <c r="D1296" t="s">
        <v>26</v>
      </c>
      <c r="E1296" t="s">
        <v>32</v>
      </c>
      <c r="F1296">
        <v>30</v>
      </c>
      <c r="G1296">
        <v>1988</v>
      </c>
      <c r="H1296">
        <v>3</v>
      </c>
      <c r="I1296">
        <v>2</v>
      </c>
      <c r="J1296">
        <v>173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f t="shared" si="40"/>
        <v>0</v>
      </c>
      <c r="S1296" t="s">
        <v>548</v>
      </c>
      <c r="T1296">
        <v>47</v>
      </c>
      <c r="U1296" t="str">
        <f t="shared" si="41"/>
        <v>Nadia Nadim:0</v>
      </c>
    </row>
    <row r="1297" spans="1:21" x14ac:dyDescent="0.2">
      <c r="A1297" t="s">
        <v>149</v>
      </c>
      <c r="B1297" t="s">
        <v>624</v>
      </c>
      <c r="C1297" t="s">
        <v>625</v>
      </c>
      <c r="D1297" t="s">
        <v>50</v>
      </c>
      <c r="E1297" t="s">
        <v>35</v>
      </c>
      <c r="F1297">
        <v>29</v>
      </c>
      <c r="G1297">
        <v>1989</v>
      </c>
      <c r="H1297">
        <v>19</v>
      </c>
      <c r="I1297">
        <v>19</v>
      </c>
      <c r="J1297">
        <v>1710</v>
      </c>
      <c r="K1297">
        <v>1</v>
      </c>
      <c r="L1297">
        <v>3</v>
      </c>
      <c r="M1297">
        <v>1</v>
      </c>
      <c r="N1297">
        <v>0</v>
      </c>
      <c r="O1297">
        <v>0</v>
      </c>
      <c r="P1297">
        <v>3</v>
      </c>
      <c r="Q1297">
        <v>0</v>
      </c>
      <c r="R1297">
        <f t="shared" si="40"/>
        <v>6.4977257959714097E-6</v>
      </c>
      <c r="S1297" t="s">
        <v>548</v>
      </c>
      <c r="T1297">
        <v>30</v>
      </c>
      <c r="U1297" t="str">
        <f t="shared" si="41"/>
        <v>Natasha Harding:3</v>
      </c>
    </row>
    <row r="1298" spans="1:21" x14ac:dyDescent="0.2">
      <c r="A1298" t="s">
        <v>88</v>
      </c>
      <c r="B1298" t="s">
        <v>606</v>
      </c>
      <c r="C1298" t="s">
        <v>607</v>
      </c>
      <c r="D1298" t="s">
        <v>42</v>
      </c>
      <c r="E1298" t="s">
        <v>65</v>
      </c>
      <c r="F1298">
        <v>19</v>
      </c>
      <c r="G1298">
        <v>1999</v>
      </c>
      <c r="H1298">
        <v>9</v>
      </c>
      <c r="I1298">
        <v>7</v>
      </c>
      <c r="J1298">
        <v>578</v>
      </c>
      <c r="K1298">
        <v>1</v>
      </c>
      <c r="L1298">
        <v>0</v>
      </c>
      <c r="M1298">
        <v>1</v>
      </c>
      <c r="N1298">
        <v>0</v>
      </c>
      <c r="O1298">
        <v>0</v>
      </c>
      <c r="P1298">
        <v>0</v>
      </c>
      <c r="Q1298">
        <v>0</v>
      </c>
      <c r="R1298">
        <f t="shared" si="40"/>
        <v>1.9223375624759709E-5</v>
      </c>
      <c r="S1298" t="s">
        <v>548</v>
      </c>
      <c r="T1298">
        <v>22</v>
      </c>
      <c r="U1298" t="str">
        <f t="shared" si="41"/>
        <v>Niamh Charles:0</v>
      </c>
    </row>
    <row r="1299" spans="1:21" x14ac:dyDescent="0.2">
      <c r="A1299" t="s">
        <v>115</v>
      </c>
      <c r="B1299" t="s">
        <v>632</v>
      </c>
      <c r="C1299" t="s">
        <v>633</v>
      </c>
      <c r="D1299" t="s">
        <v>94</v>
      </c>
      <c r="E1299" t="s">
        <v>65</v>
      </c>
      <c r="F1299">
        <v>30</v>
      </c>
      <c r="G1299">
        <v>1987</v>
      </c>
      <c r="H1299">
        <v>17</v>
      </c>
      <c r="I1299">
        <v>14</v>
      </c>
      <c r="J1299">
        <v>1274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2</v>
      </c>
      <c r="Q1299">
        <v>0</v>
      </c>
      <c r="R1299">
        <f t="shared" si="40"/>
        <v>0</v>
      </c>
      <c r="S1299" t="s">
        <v>548</v>
      </c>
      <c r="T1299">
        <v>22</v>
      </c>
      <c r="U1299" t="str">
        <f t="shared" si="41"/>
        <v>Niamh Fahey:0</v>
      </c>
    </row>
    <row r="1300" spans="1:21" x14ac:dyDescent="0.2">
      <c r="A1300" t="s">
        <v>560</v>
      </c>
      <c r="B1300" t="s">
        <v>624</v>
      </c>
      <c r="C1300" t="s">
        <v>625</v>
      </c>
      <c r="D1300" t="s">
        <v>50</v>
      </c>
      <c r="E1300" t="s">
        <v>547</v>
      </c>
      <c r="F1300">
        <v>29</v>
      </c>
      <c r="G1300">
        <v>1988</v>
      </c>
      <c r="H1300">
        <v>18</v>
      </c>
      <c r="I1300">
        <v>13</v>
      </c>
      <c r="J1300">
        <v>1314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4</v>
      </c>
      <c r="Q1300">
        <v>1</v>
      </c>
      <c r="R1300">
        <f t="shared" si="40"/>
        <v>0</v>
      </c>
      <c r="S1300" t="s">
        <v>548</v>
      </c>
      <c r="T1300">
        <v>-3</v>
      </c>
      <c r="U1300" t="str">
        <f t="shared" si="41"/>
        <v>Nicola Cousins:0</v>
      </c>
    </row>
    <row r="1301" spans="1:21" x14ac:dyDescent="0.2">
      <c r="A1301" t="s">
        <v>238</v>
      </c>
      <c r="B1301" t="s">
        <v>606</v>
      </c>
      <c r="C1301" t="s">
        <v>607</v>
      </c>
      <c r="D1301" t="s">
        <v>26</v>
      </c>
      <c r="E1301" t="s">
        <v>32</v>
      </c>
      <c r="F1301">
        <v>24</v>
      </c>
      <c r="G1301">
        <v>1994</v>
      </c>
      <c r="H1301">
        <v>19</v>
      </c>
      <c r="I1301">
        <v>18</v>
      </c>
      <c r="J1301">
        <v>1595</v>
      </c>
      <c r="K1301">
        <v>19</v>
      </c>
      <c r="L1301">
        <v>7</v>
      </c>
      <c r="M1301">
        <v>15</v>
      </c>
      <c r="N1301">
        <v>4</v>
      </c>
      <c r="O1301">
        <v>4</v>
      </c>
      <c r="P1301">
        <v>2</v>
      </c>
      <c r="Q1301">
        <v>0</v>
      </c>
      <c r="R1301">
        <f t="shared" si="40"/>
        <v>1.3235806339254613E-4</v>
      </c>
      <c r="S1301" t="s">
        <v>548</v>
      </c>
      <c r="T1301">
        <v>47</v>
      </c>
      <c r="U1301" t="str">
        <f t="shared" si="41"/>
        <v>Nikita Parris:7</v>
      </c>
    </row>
    <row r="1302" spans="1:21" x14ac:dyDescent="0.2">
      <c r="A1302" t="s">
        <v>505</v>
      </c>
      <c r="B1302" t="s">
        <v>628</v>
      </c>
      <c r="C1302" t="s">
        <v>629</v>
      </c>
      <c r="D1302" t="s">
        <v>34</v>
      </c>
      <c r="E1302" t="s">
        <v>55</v>
      </c>
      <c r="F1302">
        <v>24</v>
      </c>
      <c r="G1302">
        <v>1993</v>
      </c>
      <c r="H1302">
        <v>1</v>
      </c>
      <c r="I1302">
        <v>0</v>
      </c>
      <c r="J1302">
        <v>3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f t="shared" si="40"/>
        <v>0</v>
      </c>
      <c r="S1302" t="s">
        <v>548</v>
      </c>
      <c r="T1302">
        <v>12</v>
      </c>
      <c r="U1302" t="str">
        <f t="shared" si="41"/>
        <v>Olivia Chance:0</v>
      </c>
    </row>
    <row r="1303" spans="1:21" x14ac:dyDescent="0.2">
      <c r="A1303" t="s">
        <v>564</v>
      </c>
      <c r="B1303" t="s">
        <v>606</v>
      </c>
      <c r="C1303" t="s">
        <v>607</v>
      </c>
      <c r="D1303" t="s">
        <v>26</v>
      </c>
      <c r="E1303" t="s">
        <v>547</v>
      </c>
      <c r="F1303">
        <v>23</v>
      </c>
      <c r="G1303">
        <v>1995</v>
      </c>
      <c r="H1303">
        <v>20</v>
      </c>
      <c r="I1303">
        <v>18</v>
      </c>
      <c r="J1303">
        <v>1653</v>
      </c>
      <c r="K1303">
        <v>1</v>
      </c>
      <c r="L1303">
        <v>1</v>
      </c>
      <c r="M1303">
        <v>1</v>
      </c>
      <c r="N1303">
        <v>0</v>
      </c>
      <c r="O1303">
        <v>0</v>
      </c>
      <c r="P1303">
        <v>0</v>
      </c>
      <c r="Q1303">
        <v>0</v>
      </c>
      <c r="R1303">
        <f t="shared" si="40"/>
        <v>6.7217853061773209E-6</v>
      </c>
      <c r="S1303" t="s">
        <v>548</v>
      </c>
      <c r="T1303">
        <v>-3</v>
      </c>
      <c r="U1303" t="str">
        <f t="shared" si="41"/>
        <v>Olivia Fergusson:1</v>
      </c>
    </row>
    <row r="1304" spans="1:21" x14ac:dyDescent="0.2">
      <c r="A1304" t="s">
        <v>346</v>
      </c>
      <c r="B1304" t="s">
        <v>650</v>
      </c>
      <c r="C1304" t="s">
        <v>651</v>
      </c>
      <c r="D1304" t="s">
        <v>42</v>
      </c>
      <c r="E1304" t="s">
        <v>27</v>
      </c>
      <c r="F1304">
        <v>16</v>
      </c>
      <c r="G1304">
        <v>2001</v>
      </c>
      <c r="H1304">
        <v>3</v>
      </c>
      <c r="I1304">
        <v>1</v>
      </c>
      <c r="J1304">
        <v>102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f t="shared" si="40"/>
        <v>0</v>
      </c>
      <c r="S1304" t="s">
        <v>548</v>
      </c>
      <c r="T1304">
        <v>54</v>
      </c>
      <c r="U1304" t="str">
        <f t="shared" si="41"/>
        <v>Paige Bailey-Gayle:0</v>
      </c>
    </row>
    <row r="1305" spans="1:21" x14ac:dyDescent="0.2">
      <c r="A1305" t="s">
        <v>603</v>
      </c>
      <c r="B1305" t="s">
        <v>606</v>
      </c>
      <c r="C1305" t="s">
        <v>607</v>
      </c>
      <c r="D1305" t="s">
        <v>50</v>
      </c>
      <c r="E1305" t="s">
        <v>360</v>
      </c>
      <c r="F1305">
        <v>23</v>
      </c>
      <c r="G1305">
        <v>1995</v>
      </c>
      <c r="H1305">
        <v>12</v>
      </c>
      <c r="I1305">
        <v>12</v>
      </c>
      <c r="J1305">
        <v>1035</v>
      </c>
      <c r="K1305">
        <v>0</v>
      </c>
      <c r="L1305">
        <v>1</v>
      </c>
      <c r="M1305">
        <v>0</v>
      </c>
      <c r="N1305">
        <v>0</v>
      </c>
      <c r="O1305">
        <v>0</v>
      </c>
      <c r="P1305">
        <v>3</v>
      </c>
      <c r="Q1305">
        <v>0</v>
      </c>
      <c r="R1305">
        <f t="shared" si="40"/>
        <v>0</v>
      </c>
      <c r="S1305" t="s">
        <v>548</v>
      </c>
      <c r="T1305">
        <v>40</v>
      </c>
      <c r="U1305" t="str">
        <f t="shared" si="41"/>
        <v>Paige Williams:1</v>
      </c>
    </row>
    <row r="1306" spans="1:21" x14ac:dyDescent="0.2">
      <c r="A1306" t="s">
        <v>503</v>
      </c>
      <c r="B1306" t="s">
        <v>630</v>
      </c>
      <c r="C1306" t="s">
        <v>631</v>
      </c>
      <c r="D1306" t="s">
        <v>26</v>
      </c>
      <c r="E1306" t="s">
        <v>32</v>
      </c>
      <c r="F1306">
        <v>22</v>
      </c>
      <c r="G1306">
        <v>1996</v>
      </c>
      <c r="H1306">
        <v>4</v>
      </c>
      <c r="I1306">
        <v>1</v>
      </c>
      <c r="J1306">
        <v>120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f t="shared" si="40"/>
        <v>0</v>
      </c>
      <c r="S1306" t="s">
        <v>548</v>
      </c>
      <c r="T1306">
        <v>47</v>
      </c>
      <c r="U1306" t="str">
        <f t="shared" si="41"/>
        <v>Pauline Bremer:0</v>
      </c>
    </row>
    <row r="1307" spans="1:21" x14ac:dyDescent="0.2">
      <c r="A1307" t="s">
        <v>530</v>
      </c>
      <c r="B1307" t="s">
        <v>610</v>
      </c>
      <c r="C1307" t="s">
        <v>611</v>
      </c>
      <c r="D1307" t="s">
        <v>40</v>
      </c>
      <c r="E1307" t="s">
        <v>27</v>
      </c>
      <c r="F1307">
        <v>26</v>
      </c>
      <c r="G1307">
        <v>1992</v>
      </c>
      <c r="H1307">
        <v>13</v>
      </c>
      <c r="I1307">
        <v>13</v>
      </c>
      <c r="J1307">
        <v>1170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f t="shared" si="40"/>
        <v>0</v>
      </c>
      <c r="S1307" t="s">
        <v>548</v>
      </c>
      <c r="T1307">
        <v>54</v>
      </c>
      <c r="U1307" t="str">
        <f t="shared" si="41"/>
        <v>Pauline Peyraud-Magnin:0</v>
      </c>
    </row>
    <row r="1308" spans="1:21" x14ac:dyDescent="0.2">
      <c r="A1308" t="s">
        <v>240</v>
      </c>
      <c r="B1308" t="s">
        <v>606</v>
      </c>
      <c r="C1308" t="s">
        <v>607</v>
      </c>
      <c r="D1308" t="s">
        <v>50</v>
      </c>
      <c r="E1308" t="s">
        <v>426</v>
      </c>
      <c r="F1308">
        <v>18</v>
      </c>
      <c r="G1308">
        <v>2000</v>
      </c>
      <c r="H1308">
        <v>19</v>
      </c>
      <c r="I1308">
        <v>19</v>
      </c>
      <c r="J1308">
        <v>1693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1</v>
      </c>
      <c r="Q1308">
        <v>0</v>
      </c>
      <c r="R1308">
        <f t="shared" si="40"/>
        <v>0</v>
      </c>
      <c r="S1308" t="s">
        <v>548</v>
      </c>
      <c r="T1308">
        <v>25</v>
      </c>
      <c r="U1308" t="str">
        <f t="shared" si="41"/>
        <v>Poppy Pattinson:0</v>
      </c>
    </row>
    <row r="1309" spans="1:21" x14ac:dyDescent="0.2">
      <c r="A1309" t="s">
        <v>604</v>
      </c>
      <c r="B1309" t="s">
        <v>606</v>
      </c>
      <c r="C1309" t="s">
        <v>607</v>
      </c>
      <c r="D1309" t="s">
        <v>34</v>
      </c>
      <c r="E1309" t="s">
        <v>426</v>
      </c>
      <c r="F1309">
        <v>18</v>
      </c>
      <c r="G1309">
        <v>1999</v>
      </c>
      <c r="H1309">
        <v>1</v>
      </c>
      <c r="I1309">
        <v>0</v>
      </c>
      <c r="J1309">
        <v>13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f t="shared" si="40"/>
        <v>0</v>
      </c>
      <c r="S1309" t="s">
        <v>548</v>
      </c>
      <c r="T1309">
        <v>25</v>
      </c>
      <c r="U1309" t="str">
        <f t="shared" si="41"/>
        <v>Poppy Wilson:0</v>
      </c>
    </row>
    <row r="1310" spans="1:21" x14ac:dyDescent="0.2">
      <c r="A1310" t="s">
        <v>127</v>
      </c>
      <c r="B1310" t="s">
        <v>646</v>
      </c>
      <c r="C1310" t="s">
        <v>647</v>
      </c>
      <c r="D1310" t="s">
        <v>34</v>
      </c>
      <c r="E1310" t="s">
        <v>35</v>
      </c>
      <c r="F1310">
        <v>30</v>
      </c>
      <c r="G1310">
        <v>1988</v>
      </c>
      <c r="H1310">
        <v>19</v>
      </c>
      <c r="I1310">
        <v>16</v>
      </c>
      <c r="J1310">
        <v>1491</v>
      </c>
      <c r="K1310">
        <v>1</v>
      </c>
      <c r="L1310">
        <v>1</v>
      </c>
      <c r="M1310">
        <v>1</v>
      </c>
      <c r="N1310">
        <v>0</v>
      </c>
      <c r="O1310">
        <v>0</v>
      </c>
      <c r="P1310">
        <v>3</v>
      </c>
      <c r="Q1310">
        <v>0</v>
      </c>
      <c r="R1310">
        <f t="shared" si="40"/>
        <v>7.4521201281764661E-6</v>
      </c>
      <c r="S1310" t="s">
        <v>548</v>
      </c>
      <c r="T1310">
        <v>30</v>
      </c>
      <c r="U1310" t="str">
        <f t="shared" si="41"/>
        <v>Rachel Furness:1</v>
      </c>
    </row>
    <row r="1311" spans="1:21" x14ac:dyDescent="0.2">
      <c r="A1311" t="s">
        <v>585</v>
      </c>
      <c r="B1311" t="s">
        <v>652</v>
      </c>
      <c r="C1311" t="s">
        <v>653</v>
      </c>
      <c r="D1311" t="s">
        <v>94</v>
      </c>
      <c r="E1311" t="s">
        <v>547</v>
      </c>
      <c r="F1311">
        <v>21</v>
      </c>
      <c r="G1311">
        <v>1997</v>
      </c>
      <c r="H1311">
        <v>7</v>
      </c>
      <c r="I1311">
        <v>7</v>
      </c>
      <c r="J1311">
        <v>630</v>
      </c>
      <c r="K1311">
        <v>0</v>
      </c>
      <c r="L1311">
        <v>1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f t="shared" si="40"/>
        <v>0</v>
      </c>
      <c r="S1311" t="s">
        <v>548</v>
      </c>
      <c r="T1311">
        <v>-3</v>
      </c>
      <c r="U1311" t="str">
        <f t="shared" si="41"/>
        <v>Rachel McLauchlan:1</v>
      </c>
    </row>
    <row r="1312" spans="1:21" x14ac:dyDescent="0.2">
      <c r="A1312" t="s">
        <v>266</v>
      </c>
      <c r="B1312" t="s">
        <v>624</v>
      </c>
      <c r="C1312" t="s">
        <v>625</v>
      </c>
      <c r="D1312" t="s">
        <v>34</v>
      </c>
      <c r="E1312" t="s">
        <v>35</v>
      </c>
      <c r="F1312">
        <v>25</v>
      </c>
      <c r="G1312">
        <v>1992</v>
      </c>
      <c r="H1312">
        <v>1</v>
      </c>
      <c r="I1312">
        <v>1</v>
      </c>
      <c r="J1312">
        <v>71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f t="shared" si="40"/>
        <v>0</v>
      </c>
      <c r="S1312" t="s">
        <v>548</v>
      </c>
      <c r="T1312">
        <v>30</v>
      </c>
      <c r="U1312" t="str">
        <f t="shared" si="41"/>
        <v>Rachel Rowe:0</v>
      </c>
    </row>
    <row r="1313" spans="1:21" x14ac:dyDescent="0.2">
      <c r="A1313" t="s">
        <v>517</v>
      </c>
      <c r="B1313" t="s">
        <v>642</v>
      </c>
      <c r="C1313" t="s">
        <v>643</v>
      </c>
      <c r="D1313" t="s">
        <v>42</v>
      </c>
      <c r="E1313" t="s">
        <v>35</v>
      </c>
      <c r="F1313">
        <v>29</v>
      </c>
      <c r="G1313">
        <v>1988</v>
      </c>
      <c r="H1313">
        <v>5</v>
      </c>
      <c r="I1313">
        <v>2</v>
      </c>
      <c r="J1313">
        <v>208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f t="shared" si="40"/>
        <v>0</v>
      </c>
      <c r="S1313" t="s">
        <v>548</v>
      </c>
      <c r="T1313">
        <v>30</v>
      </c>
      <c r="U1313" t="str">
        <f t="shared" si="41"/>
        <v>Rakel Hönnudóttir:0</v>
      </c>
    </row>
    <row r="1314" spans="1:21" x14ac:dyDescent="0.2">
      <c r="A1314" t="s">
        <v>499</v>
      </c>
      <c r="B1314" t="s">
        <v>614</v>
      </c>
      <c r="C1314" t="s">
        <v>615</v>
      </c>
      <c r="D1314" t="s">
        <v>42</v>
      </c>
      <c r="E1314" t="s">
        <v>20</v>
      </c>
      <c r="F1314">
        <v>27</v>
      </c>
      <c r="G1314">
        <v>1990</v>
      </c>
      <c r="H1314">
        <v>16</v>
      </c>
      <c r="I1314">
        <v>12</v>
      </c>
      <c r="J1314">
        <v>1067</v>
      </c>
      <c r="K1314">
        <v>3</v>
      </c>
      <c r="L1314">
        <v>6</v>
      </c>
      <c r="M1314">
        <v>3</v>
      </c>
      <c r="N1314">
        <v>0</v>
      </c>
      <c r="O1314">
        <v>0</v>
      </c>
      <c r="P1314">
        <v>1</v>
      </c>
      <c r="Q1314">
        <v>0</v>
      </c>
      <c r="R1314">
        <f t="shared" si="40"/>
        <v>3.1240237425804439E-5</v>
      </c>
      <c r="S1314" t="s">
        <v>548</v>
      </c>
      <c r="T1314">
        <v>42</v>
      </c>
      <c r="U1314" t="str">
        <f t="shared" si="41"/>
        <v>Ramona Bachmann:6</v>
      </c>
    </row>
    <row r="1315" spans="1:21" x14ac:dyDescent="0.2">
      <c r="A1315" t="s">
        <v>171</v>
      </c>
      <c r="B1315" t="s">
        <v>606</v>
      </c>
      <c r="C1315" t="s">
        <v>607</v>
      </c>
      <c r="D1315" t="s">
        <v>50</v>
      </c>
      <c r="E1315" t="s">
        <v>35</v>
      </c>
      <c r="F1315">
        <v>26</v>
      </c>
      <c r="G1315">
        <v>1992</v>
      </c>
      <c r="H1315">
        <v>8</v>
      </c>
      <c r="I1315">
        <v>3</v>
      </c>
      <c r="J1315">
        <v>367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f t="shared" si="40"/>
        <v>0</v>
      </c>
      <c r="S1315" t="s">
        <v>548</v>
      </c>
      <c r="T1315">
        <v>30</v>
      </c>
      <c r="U1315" t="str">
        <f t="shared" si="41"/>
        <v>Rebecca Jane:0</v>
      </c>
    </row>
    <row r="1316" spans="1:21" x14ac:dyDescent="0.2">
      <c r="A1316" t="s">
        <v>286</v>
      </c>
      <c r="B1316" t="s">
        <v>650</v>
      </c>
      <c r="C1316" t="s">
        <v>651</v>
      </c>
      <c r="D1316" t="s">
        <v>40</v>
      </c>
      <c r="E1316" t="s">
        <v>24</v>
      </c>
      <c r="F1316">
        <v>27</v>
      </c>
      <c r="G1316">
        <v>1991</v>
      </c>
      <c r="H1316">
        <v>12</v>
      </c>
      <c r="I1316">
        <v>10</v>
      </c>
      <c r="J1316">
        <v>993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f t="shared" si="40"/>
        <v>0</v>
      </c>
      <c r="S1316" t="s">
        <v>548</v>
      </c>
      <c r="T1316">
        <v>23</v>
      </c>
      <c r="U1316" t="str">
        <f t="shared" si="41"/>
        <v>Rebecca Spencer:0</v>
      </c>
    </row>
    <row r="1317" spans="1:21" x14ac:dyDescent="0.2">
      <c r="A1317" t="s">
        <v>36</v>
      </c>
      <c r="B1317" t="s">
        <v>606</v>
      </c>
      <c r="C1317" t="s">
        <v>607</v>
      </c>
      <c r="D1317" t="s">
        <v>34</v>
      </c>
      <c r="E1317" t="s">
        <v>35</v>
      </c>
      <c r="F1317">
        <v>27</v>
      </c>
      <c r="G1317">
        <v>1990</v>
      </c>
      <c r="H1317">
        <v>19</v>
      </c>
      <c r="I1317">
        <v>19</v>
      </c>
      <c r="J1317">
        <v>1652</v>
      </c>
      <c r="K1317">
        <v>2</v>
      </c>
      <c r="L1317">
        <v>2</v>
      </c>
      <c r="M1317">
        <v>2</v>
      </c>
      <c r="N1317">
        <v>0</v>
      </c>
      <c r="O1317">
        <v>0</v>
      </c>
      <c r="P1317">
        <v>7</v>
      </c>
      <c r="Q1317">
        <v>0</v>
      </c>
      <c r="R1317">
        <f t="shared" si="40"/>
        <v>1.3451708366962605E-5</v>
      </c>
      <c r="S1317" t="s">
        <v>548</v>
      </c>
      <c r="T1317">
        <v>30</v>
      </c>
      <c r="U1317" t="str">
        <f t="shared" si="41"/>
        <v>Remi Allen:2</v>
      </c>
    </row>
    <row r="1318" spans="1:21" x14ac:dyDescent="0.2">
      <c r="A1318" t="s">
        <v>261</v>
      </c>
      <c r="B1318" t="s">
        <v>624</v>
      </c>
      <c r="C1318" t="s">
        <v>625</v>
      </c>
      <c r="D1318" t="s">
        <v>94</v>
      </c>
      <c r="E1318" t="s">
        <v>65</v>
      </c>
      <c r="F1318">
        <v>27</v>
      </c>
      <c r="G1318">
        <v>1990</v>
      </c>
      <c r="H1318">
        <v>8</v>
      </c>
      <c r="I1318">
        <v>6</v>
      </c>
      <c r="J1318">
        <v>514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1</v>
      </c>
      <c r="Q1318">
        <v>1</v>
      </c>
      <c r="R1318">
        <f t="shared" si="40"/>
        <v>0</v>
      </c>
      <c r="S1318" t="s">
        <v>548</v>
      </c>
      <c r="T1318">
        <v>22</v>
      </c>
      <c r="U1318" t="str">
        <f t="shared" si="41"/>
        <v>Rhiannon Roberts:0</v>
      </c>
    </row>
    <row r="1319" spans="1:21" x14ac:dyDescent="0.2">
      <c r="A1319" t="s">
        <v>244</v>
      </c>
      <c r="B1319" t="s">
        <v>628</v>
      </c>
      <c r="C1319" t="s">
        <v>629</v>
      </c>
      <c r="D1319" t="s">
        <v>29</v>
      </c>
      <c r="E1319" t="s">
        <v>24</v>
      </c>
      <c r="F1319">
        <v>28</v>
      </c>
      <c r="G1319">
        <v>1989</v>
      </c>
      <c r="H1319">
        <v>16</v>
      </c>
      <c r="I1319">
        <v>15</v>
      </c>
      <c r="J1319">
        <v>1368</v>
      </c>
      <c r="K1319">
        <v>0</v>
      </c>
      <c r="L1319">
        <v>2</v>
      </c>
      <c r="M1319">
        <v>0</v>
      </c>
      <c r="N1319">
        <v>0</v>
      </c>
      <c r="O1319">
        <v>0</v>
      </c>
      <c r="P1319">
        <v>1</v>
      </c>
      <c r="Q1319">
        <v>0</v>
      </c>
      <c r="R1319">
        <f t="shared" si="40"/>
        <v>0</v>
      </c>
      <c r="S1319" t="s">
        <v>548</v>
      </c>
      <c r="T1319">
        <v>23</v>
      </c>
      <c r="U1319" t="str">
        <f t="shared" si="41"/>
        <v>Ria Percival:2</v>
      </c>
    </row>
    <row r="1320" spans="1:21" x14ac:dyDescent="0.2">
      <c r="A1320" t="s">
        <v>345</v>
      </c>
      <c r="B1320" t="s">
        <v>606</v>
      </c>
      <c r="C1320" t="s">
        <v>607</v>
      </c>
      <c r="D1320" t="s">
        <v>23</v>
      </c>
      <c r="E1320" t="s">
        <v>65</v>
      </c>
      <c r="F1320">
        <v>20</v>
      </c>
      <c r="G1320">
        <v>1998</v>
      </c>
      <c r="H1320">
        <v>17</v>
      </c>
      <c r="I1320">
        <v>10</v>
      </c>
      <c r="J1320">
        <v>1001</v>
      </c>
      <c r="K1320">
        <v>4</v>
      </c>
      <c r="L1320">
        <v>0</v>
      </c>
      <c r="M1320">
        <v>4</v>
      </c>
      <c r="N1320">
        <v>0</v>
      </c>
      <c r="O1320">
        <v>0</v>
      </c>
      <c r="P1320">
        <v>3</v>
      </c>
      <c r="Q1320">
        <v>0</v>
      </c>
      <c r="R1320">
        <f t="shared" si="40"/>
        <v>4.44000444000444E-5</v>
      </c>
      <c r="S1320" t="s">
        <v>548</v>
      </c>
      <c r="T1320">
        <v>22</v>
      </c>
      <c r="U1320" t="str">
        <f t="shared" si="41"/>
        <v>Rinsola Babajide:0</v>
      </c>
    </row>
    <row r="1321" spans="1:21" x14ac:dyDescent="0.2">
      <c r="A1321" t="s">
        <v>44</v>
      </c>
      <c r="B1321" t="s">
        <v>672</v>
      </c>
      <c r="C1321" t="s">
        <v>673</v>
      </c>
      <c r="D1321" t="s">
        <v>42</v>
      </c>
      <c r="E1321" t="s">
        <v>426</v>
      </c>
      <c r="F1321">
        <v>22</v>
      </c>
      <c r="G1321">
        <v>1996</v>
      </c>
      <c r="H1321">
        <v>15</v>
      </c>
      <c r="I1321">
        <v>8</v>
      </c>
      <c r="J1321">
        <v>795</v>
      </c>
      <c r="K1321">
        <v>1</v>
      </c>
      <c r="L1321">
        <v>0</v>
      </c>
      <c r="M1321">
        <v>1</v>
      </c>
      <c r="N1321">
        <v>0</v>
      </c>
      <c r="O1321">
        <v>0</v>
      </c>
      <c r="P1321">
        <v>0</v>
      </c>
      <c r="Q1321">
        <v>0</v>
      </c>
      <c r="R1321">
        <f t="shared" si="40"/>
        <v>1.397624039133473E-5</v>
      </c>
      <c r="S1321" t="s">
        <v>548</v>
      </c>
      <c r="T1321">
        <v>25</v>
      </c>
      <c r="U1321" t="str">
        <f t="shared" si="41"/>
        <v>Rosella Ayane:0</v>
      </c>
    </row>
    <row r="1322" spans="1:21" x14ac:dyDescent="0.2">
      <c r="A1322" t="s">
        <v>579</v>
      </c>
      <c r="B1322" t="s">
        <v>606</v>
      </c>
      <c r="C1322" t="s">
        <v>607</v>
      </c>
      <c r="D1322" t="s">
        <v>42</v>
      </c>
      <c r="E1322" t="s">
        <v>24</v>
      </c>
      <c r="F1322">
        <v>24</v>
      </c>
      <c r="G1322">
        <v>1994</v>
      </c>
      <c r="H1322">
        <v>14</v>
      </c>
      <c r="I1322">
        <v>1</v>
      </c>
      <c r="J1322">
        <v>222</v>
      </c>
      <c r="K1322">
        <v>1</v>
      </c>
      <c r="L1322">
        <v>1</v>
      </c>
      <c r="M1322">
        <v>1</v>
      </c>
      <c r="N1322">
        <v>0</v>
      </c>
      <c r="O1322">
        <v>0</v>
      </c>
      <c r="P1322">
        <v>0</v>
      </c>
      <c r="Q1322">
        <v>0</v>
      </c>
      <c r="R1322">
        <f t="shared" si="40"/>
        <v>5.0050050050050052E-5</v>
      </c>
      <c r="S1322" t="s">
        <v>548</v>
      </c>
      <c r="T1322">
        <v>23</v>
      </c>
      <c r="U1322" t="str">
        <f t="shared" si="41"/>
        <v>Rosie Kmita:1</v>
      </c>
    </row>
    <row r="1323" spans="1:21" x14ac:dyDescent="0.2">
      <c r="A1323" t="s">
        <v>445</v>
      </c>
      <c r="B1323" t="s">
        <v>606</v>
      </c>
      <c r="C1323" t="s">
        <v>607</v>
      </c>
      <c r="D1323" t="s">
        <v>23</v>
      </c>
      <c r="E1323" t="s">
        <v>27</v>
      </c>
      <c r="F1323">
        <v>16</v>
      </c>
      <c r="G1323">
        <v>2002</v>
      </c>
      <c r="H1323">
        <v>2</v>
      </c>
      <c r="I1323">
        <v>0</v>
      </c>
      <c r="J1323">
        <v>12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f t="shared" si="40"/>
        <v>0</v>
      </c>
      <c r="S1323" t="s">
        <v>548</v>
      </c>
      <c r="T1323">
        <v>54</v>
      </c>
      <c r="U1323" t="str">
        <f t="shared" si="41"/>
        <v>Ruby Grant:0</v>
      </c>
    </row>
    <row r="1324" spans="1:21" x14ac:dyDescent="0.2">
      <c r="A1324" t="s">
        <v>212</v>
      </c>
      <c r="B1324" t="s">
        <v>606</v>
      </c>
      <c r="C1324" t="s">
        <v>607</v>
      </c>
      <c r="D1324" t="s">
        <v>248</v>
      </c>
      <c r="E1324" t="s">
        <v>360</v>
      </c>
      <c r="F1324">
        <v>21</v>
      </c>
      <c r="G1324">
        <v>1997</v>
      </c>
      <c r="H1324">
        <v>17</v>
      </c>
      <c r="I1324">
        <v>8</v>
      </c>
      <c r="J1324">
        <v>835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f t="shared" si="40"/>
        <v>0</v>
      </c>
      <c r="S1324" t="s">
        <v>548</v>
      </c>
      <c r="T1324">
        <v>40</v>
      </c>
      <c r="U1324" t="str">
        <f t="shared" si="41"/>
        <v>Sarah Mayling:0</v>
      </c>
    </row>
    <row r="1325" spans="1:21" x14ac:dyDescent="0.2">
      <c r="A1325" t="s">
        <v>602</v>
      </c>
      <c r="B1325" t="s">
        <v>626</v>
      </c>
      <c r="C1325" t="s">
        <v>627</v>
      </c>
      <c r="D1325" t="s">
        <v>40</v>
      </c>
      <c r="E1325" t="s">
        <v>27</v>
      </c>
      <c r="F1325">
        <v>28</v>
      </c>
      <c r="G1325">
        <v>1990</v>
      </c>
      <c r="H1325">
        <v>7</v>
      </c>
      <c r="I1325">
        <v>7</v>
      </c>
      <c r="J1325">
        <v>630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f t="shared" si="40"/>
        <v>0</v>
      </c>
      <c r="S1325" t="s">
        <v>548</v>
      </c>
      <c r="T1325">
        <v>54</v>
      </c>
      <c r="U1325" t="str">
        <f t="shared" si="41"/>
        <v>Sari van Veenendaal:0</v>
      </c>
    </row>
    <row r="1326" spans="1:21" x14ac:dyDescent="0.2">
      <c r="A1326" t="s">
        <v>586</v>
      </c>
      <c r="B1326" t="s">
        <v>650</v>
      </c>
      <c r="C1326" t="s">
        <v>651</v>
      </c>
      <c r="D1326" t="s">
        <v>50</v>
      </c>
      <c r="E1326" t="s">
        <v>65</v>
      </c>
      <c r="F1326">
        <v>25</v>
      </c>
      <c r="G1326">
        <v>1993</v>
      </c>
      <c r="H1326">
        <v>14</v>
      </c>
      <c r="I1326">
        <v>14</v>
      </c>
      <c r="J1326">
        <v>1260</v>
      </c>
      <c r="K1326">
        <v>0</v>
      </c>
      <c r="L1326">
        <v>1</v>
      </c>
      <c r="M1326">
        <v>0</v>
      </c>
      <c r="N1326">
        <v>0</v>
      </c>
      <c r="O1326">
        <v>0</v>
      </c>
      <c r="P1326">
        <v>3</v>
      </c>
      <c r="Q1326">
        <v>0</v>
      </c>
      <c r="R1326">
        <f t="shared" si="40"/>
        <v>0</v>
      </c>
      <c r="S1326" t="s">
        <v>548</v>
      </c>
      <c r="T1326">
        <v>22</v>
      </c>
      <c r="U1326" t="str">
        <f t="shared" si="41"/>
        <v>Satara Murray:1</v>
      </c>
    </row>
    <row r="1327" spans="1:21" x14ac:dyDescent="0.2">
      <c r="A1327" t="s">
        <v>379</v>
      </c>
      <c r="B1327" t="s">
        <v>650</v>
      </c>
      <c r="C1327" t="s">
        <v>651</v>
      </c>
      <c r="D1327" t="s">
        <v>42</v>
      </c>
      <c r="E1327" t="s">
        <v>360</v>
      </c>
      <c r="F1327">
        <v>18</v>
      </c>
      <c r="G1327">
        <v>1999</v>
      </c>
      <c r="H1327">
        <v>5</v>
      </c>
      <c r="I1327">
        <v>0</v>
      </c>
      <c r="J1327">
        <v>28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f t="shared" si="40"/>
        <v>0</v>
      </c>
      <c r="S1327" t="s">
        <v>548</v>
      </c>
      <c r="T1327">
        <v>40</v>
      </c>
      <c r="U1327" t="str">
        <f t="shared" si="41"/>
        <v>Shania Hayles:0</v>
      </c>
    </row>
    <row r="1328" spans="1:21" x14ac:dyDescent="0.2">
      <c r="A1328" t="s">
        <v>546</v>
      </c>
      <c r="B1328" t="s">
        <v>606</v>
      </c>
      <c r="C1328" t="s">
        <v>607</v>
      </c>
      <c r="D1328" t="s">
        <v>42</v>
      </c>
      <c r="E1328" t="s">
        <v>547</v>
      </c>
      <c r="H1328">
        <v>7</v>
      </c>
      <c r="I1328">
        <v>3</v>
      </c>
      <c r="J1328">
        <v>322</v>
      </c>
      <c r="K1328">
        <v>0</v>
      </c>
      <c r="L1328">
        <v>1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f t="shared" si="40"/>
        <v>0</v>
      </c>
      <c r="S1328" t="s">
        <v>548</v>
      </c>
      <c r="T1328">
        <v>-3</v>
      </c>
      <c r="U1328" t="str">
        <f t="shared" si="41"/>
        <v>Shannon Albuery:1</v>
      </c>
    </row>
    <row r="1329" spans="1:21" x14ac:dyDescent="0.2">
      <c r="A1329" t="s">
        <v>206</v>
      </c>
      <c r="B1329" t="s">
        <v>646</v>
      </c>
      <c r="C1329" t="s">
        <v>647</v>
      </c>
      <c r="D1329" t="s">
        <v>42</v>
      </c>
      <c r="E1329" t="s">
        <v>55</v>
      </c>
      <c r="F1329">
        <v>23</v>
      </c>
      <c r="G1329">
        <v>1994</v>
      </c>
      <c r="H1329">
        <v>17</v>
      </c>
      <c r="I1329">
        <v>16</v>
      </c>
      <c r="J1329">
        <v>1386</v>
      </c>
      <c r="K1329">
        <v>2</v>
      </c>
      <c r="L1329">
        <v>2</v>
      </c>
      <c r="M1329">
        <v>2</v>
      </c>
      <c r="N1329">
        <v>0</v>
      </c>
      <c r="O1329">
        <v>0</v>
      </c>
      <c r="P1329">
        <v>1</v>
      </c>
      <c r="Q1329">
        <v>0</v>
      </c>
      <c r="R1329">
        <f t="shared" si="40"/>
        <v>1.6033349366682699E-5</v>
      </c>
      <c r="S1329" t="s">
        <v>548</v>
      </c>
      <c r="T1329">
        <v>12</v>
      </c>
      <c r="U1329" t="str">
        <f t="shared" si="41"/>
        <v>Simone Magill:2</v>
      </c>
    </row>
    <row r="1330" spans="1:21" x14ac:dyDescent="0.2">
      <c r="A1330" t="s">
        <v>575</v>
      </c>
      <c r="B1330" t="s">
        <v>606</v>
      </c>
      <c r="C1330" t="s">
        <v>607</v>
      </c>
      <c r="D1330" t="s">
        <v>23</v>
      </c>
      <c r="E1330" t="s">
        <v>65</v>
      </c>
      <c r="F1330">
        <v>17</v>
      </c>
      <c r="G1330">
        <v>2001</v>
      </c>
      <c r="H1330">
        <v>2</v>
      </c>
      <c r="I1330">
        <v>0</v>
      </c>
      <c r="J1330">
        <v>45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1</v>
      </c>
      <c r="Q1330">
        <v>0</v>
      </c>
      <c r="R1330">
        <f t="shared" si="40"/>
        <v>0</v>
      </c>
      <c r="S1330" t="s">
        <v>548</v>
      </c>
      <c r="T1330">
        <v>22</v>
      </c>
      <c r="U1330" t="str">
        <f t="shared" si="41"/>
        <v>Simran Jhamat:0</v>
      </c>
    </row>
    <row r="1331" spans="1:21" x14ac:dyDescent="0.2">
      <c r="A1331" t="s">
        <v>496</v>
      </c>
      <c r="B1331" t="s">
        <v>626</v>
      </c>
      <c r="C1331" t="s">
        <v>627</v>
      </c>
      <c r="D1331" t="s">
        <v>50</v>
      </c>
      <c r="E1331" t="s">
        <v>55</v>
      </c>
      <c r="F1331">
        <v>26</v>
      </c>
      <c r="G1331">
        <v>1992</v>
      </c>
      <c r="H1331">
        <v>13</v>
      </c>
      <c r="I1331">
        <v>11</v>
      </c>
      <c r="J1331">
        <v>854</v>
      </c>
      <c r="K1331">
        <v>0</v>
      </c>
      <c r="L1331">
        <v>1</v>
      </c>
      <c r="M1331">
        <v>0</v>
      </c>
      <c r="N1331">
        <v>0</v>
      </c>
      <c r="O1331">
        <v>0</v>
      </c>
      <c r="P1331">
        <v>1</v>
      </c>
      <c r="Q1331">
        <v>0</v>
      </c>
      <c r="R1331">
        <f t="shared" si="40"/>
        <v>0</v>
      </c>
      <c r="S1331" t="s">
        <v>548</v>
      </c>
      <c r="T1331">
        <v>12</v>
      </c>
      <c r="U1331" t="str">
        <f t="shared" si="41"/>
        <v>Siri Worm:1</v>
      </c>
    </row>
    <row r="1332" spans="1:21" x14ac:dyDescent="0.2">
      <c r="A1332" t="s">
        <v>427</v>
      </c>
      <c r="B1332" t="s">
        <v>606</v>
      </c>
      <c r="C1332" t="s">
        <v>607</v>
      </c>
      <c r="D1332" t="s">
        <v>40</v>
      </c>
      <c r="E1332" t="s">
        <v>426</v>
      </c>
      <c r="F1332">
        <v>21</v>
      </c>
      <c r="G1332">
        <v>1996</v>
      </c>
      <c r="H1332">
        <v>20</v>
      </c>
      <c r="I1332">
        <v>20</v>
      </c>
      <c r="J1332">
        <v>1800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f t="shared" si="40"/>
        <v>0</v>
      </c>
      <c r="S1332" t="s">
        <v>548</v>
      </c>
      <c r="T1332">
        <v>25</v>
      </c>
      <c r="U1332" t="str">
        <f t="shared" si="41"/>
        <v>Sophie Baggaley:0</v>
      </c>
    </row>
    <row r="1333" spans="1:21" x14ac:dyDescent="0.2">
      <c r="A1333" t="s">
        <v>502</v>
      </c>
      <c r="B1333" t="s">
        <v>606</v>
      </c>
      <c r="C1333" t="s">
        <v>607</v>
      </c>
      <c r="D1333" t="s">
        <v>50</v>
      </c>
      <c r="E1333" t="s">
        <v>65</v>
      </c>
      <c r="F1333">
        <v>28</v>
      </c>
      <c r="G1333">
        <v>1989</v>
      </c>
      <c r="H1333">
        <v>20</v>
      </c>
      <c r="I1333">
        <v>20</v>
      </c>
      <c r="J1333">
        <v>1800</v>
      </c>
      <c r="K1333">
        <v>0</v>
      </c>
      <c r="L1333">
        <v>2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f t="shared" si="40"/>
        <v>0</v>
      </c>
      <c r="S1333" t="s">
        <v>548</v>
      </c>
      <c r="T1333">
        <v>22</v>
      </c>
      <c r="U1333" t="str">
        <f t="shared" si="41"/>
        <v>Sophie Bradley:2</v>
      </c>
    </row>
    <row r="1334" spans="1:21" x14ac:dyDescent="0.2">
      <c r="A1334" t="s">
        <v>378</v>
      </c>
      <c r="B1334" t="s">
        <v>606</v>
      </c>
      <c r="C1334" t="s">
        <v>607</v>
      </c>
      <c r="D1334" t="s">
        <v>40</v>
      </c>
      <c r="E1334" t="s">
        <v>48</v>
      </c>
      <c r="F1334">
        <v>23</v>
      </c>
      <c r="G1334">
        <v>1994</v>
      </c>
      <c r="H1334">
        <v>4</v>
      </c>
      <c r="I1334">
        <v>3</v>
      </c>
      <c r="J1334">
        <v>325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f t="shared" si="40"/>
        <v>0</v>
      </c>
      <c r="S1334" t="s">
        <v>548</v>
      </c>
      <c r="T1334">
        <v>16</v>
      </c>
      <c r="U1334" t="str">
        <f t="shared" si="41"/>
        <v>Sophie Harris:0</v>
      </c>
    </row>
    <row r="1335" spans="1:21" x14ac:dyDescent="0.2">
      <c r="A1335" t="s">
        <v>163</v>
      </c>
      <c r="B1335" t="s">
        <v>652</v>
      </c>
      <c r="C1335" t="s">
        <v>653</v>
      </c>
      <c r="D1335" t="s">
        <v>29</v>
      </c>
      <c r="E1335" t="s">
        <v>35</v>
      </c>
      <c r="F1335">
        <v>24</v>
      </c>
      <c r="G1335">
        <v>1993</v>
      </c>
      <c r="H1335">
        <v>6</v>
      </c>
      <c r="I1335">
        <v>5</v>
      </c>
      <c r="J1335">
        <v>395</v>
      </c>
      <c r="K1335">
        <v>0</v>
      </c>
      <c r="L1335">
        <v>1</v>
      </c>
      <c r="M1335">
        <v>0</v>
      </c>
      <c r="N1335">
        <v>0</v>
      </c>
      <c r="O1335">
        <v>0</v>
      </c>
      <c r="P1335">
        <v>1</v>
      </c>
      <c r="Q1335">
        <v>0</v>
      </c>
      <c r="R1335">
        <f t="shared" si="40"/>
        <v>0</v>
      </c>
      <c r="S1335" t="s">
        <v>548</v>
      </c>
      <c r="T1335">
        <v>30</v>
      </c>
      <c r="U1335" t="str">
        <f t="shared" si="41"/>
        <v>Sophie Howard:1</v>
      </c>
    </row>
    <row r="1336" spans="1:21" x14ac:dyDescent="0.2">
      <c r="A1336" t="s">
        <v>167</v>
      </c>
      <c r="B1336" t="s">
        <v>624</v>
      </c>
      <c r="C1336" t="s">
        <v>625</v>
      </c>
      <c r="D1336" t="s">
        <v>34</v>
      </c>
      <c r="E1336" t="s">
        <v>20</v>
      </c>
      <c r="F1336">
        <v>26</v>
      </c>
      <c r="G1336">
        <v>1991</v>
      </c>
      <c r="H1336">
        <v>14</v>
      </c>
      <c r="I1336">
        <v>14</v>
      </c>
      <c r="J1336">
        <v>1221</v>
      </c>
      <c r="K1336">
        <v>0</v>
      </c>
      <c r="L1336">
        <v>2</v>
      </c>
      <c r="M1336">
        <v>0</v>
      </c>
      <c r="N1336">
        <v>0</v>
      </c>
      <c r="O1336">
        <v>0</v>
      </c>
      <c r="P1336">
        <v>1</v>
      </c>
      <c r="Q1336">
        <v>0</v>
      </c>
      <c r="R1336">
        <f t="shared" si="40"/>
        <v>0</v>
      </c>
      <c r="S1336" t="s">
        <v>548</v>
      </c>
      <c r="T1336">
        <v>42</v>
      </c>
      <c r="U1336" t="str">
        <f t="shared" si="41"/>
        <v>Sophie Ingle:2</v>
      </c>
    </row>
    <row r="1337" spans="1:21" x14ac:dyDescent="0.2">
      <c r="A1337" t="s">
        <v>590</v>
      </c>
      <c r="B1337" t="s">
        <v>632</v>
      </c>
      <c r="C1337" t="s">
        <v>633</v>
      </c>
      <c r="D1337" t="s">
        <v>29</v>
      </c>
      <c r="E1337" t="s">
        <v>48</v>
      </c>
      <c r="F1337">
        <v>31</v>
      </c>
      <c r="G1337">
        <v>1986</v>
      </c>
      <c r="H1337">
        <v>7</v>
      </c>
      <c r="I1337">
        <v>4</v>
      </c>
      <c r="J1337">
        <v>411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f t="shared" si="40"/>
        <v>0</v>
      </c>
      <c r="S1337" t="s">
        <v>548</v>
      </c>
      <c r="T1337">
        <v>16</v>
      </c>
      <c r="U1337" t="str">
        <f t="shared" si="41"/>
        <v>Sophie Perry:0</v>
      </c>
    </row>
    <row r="1338" spans="1:21" x14ac:dyDescent="0.2">
      <c r="A1338" t="s">
        <v>161</v>
      </c>
      <c r="B1338" t="s">
        <v>606</v>
      </c>
      <c r="C1338" t="s">
        <v>607</v>
      </c>
      <c r="D1338" t="s">
        <v>50</v>
      </c>
      <c r="E1338" t="s">
        <v>32</v>
      </c>
      <c r="F1338">
        <v>30</v>
      </c>
      <c r="G1338">
        <v>1988</v>
      </c>
      <c r="H1338">
        <v>20</v>
      </c>
      <c r="I1338">
        <v>20</v>
      </c>
      <c r="J1338">
        <v>1800</v>
      </c>
      <c r="K1338">
        <v>3</v>
      </c>
      <c r="L1338">
        <v>0</v>
      </c>
      <c r="M1338">
        <v>3</v>
      </c>
      <c r="N1338">
        <v>0</v>
      </c>
      <c r="O1338">
        <v>0</v>
      </c>
      <c r="P1338">
        <v>1</v>
      </c>
      <c r="Q1338">
        <v>0</v>
      </c>
      <c r="R1338">
        <f t="shared" si="40"/>
        <v>1.8518518518518518E-5</v>
      </c>
      <c r="S1338" t="s">
        <v>548</v>
      </c>
      <c r="T1338">
        <v>47</v>
      </c>
      <c r="U1338" t="str">
        <f t="shared" si="41"/>
        <v>Steph Houghton:0</v>
      </c>
    </row>
    <row r="1339" spans="1:21" x14ac:dyDescent="0.2">
      <c r="A1339" t="s">
        <v>577</v>
      </c>
      <c r="B1339" t="s">
        <v>630</v>
      </c>
      <c r="C1339" t="s">
        <v>631</v>
      </c>
      <c r="D1339" t="s">
        <v>42</v>
      </c>
      <c r="E1339" t="s">
        <v>27</v>
      </c>
      <c r="F1339">
        <v>26</v>
      </c>
      <c r="G1339">
        <v>1991</v>
      </c>
      <c r="H1339">
        <v>3</v>
      </c>
      <c r="I1339">
        <v>0</v>
      </c>
      <c r="J1339">
        <v>3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f t="shared" si="40"/>
        <v>0</v>
      </c>
      <c r="S1339" t="s">
        <v>548</v>
      </c>
      <c r="T1339">
        <v>54</v>
      </c>
      <c r="U1339" t="str">
        <f t="shared" si="41"/>
        <v>Tabea Kemme:0</v>
      </c>
    </row>
    <row r="1340" spans="1:21" x14ac:dyDescent="0.2">
      <c r="A1340" t="s">
        <v>157</v>
      </c>
      <c r="B1340" t="s">
        <v>606</v>
      </c>
      <c r="C1340" t="s">
        <v>607</v>
      </c>
      <c r="D1340" t="s">
        <v>50</v>
      </c>
      <c r="E1340" t="s">
        <v>55</v>
      </c>
      <c r="F1340">
        <v>18</v>
      </c>
      <c r="G1340">
        <v>1999</v>
      </c>
      <c r="H1340">
        <v>12</v>
      </c>
      <c r="I1340">
        <v>11</v>
      </c>
      <c r="J1340">
        <v>975</v>
      </c>
      <c r="K1340">
        <v>0</v>
      </c>
      <c r="L1340">
        <v>1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f t="shared" si="40"/>
        <v>0</v>
      </c>
      <c r="S1340" t="s">
        <v>548</v>
      </c>
      <c r="T1340">
        <v>12</v>
      </c>
      <c r="U1340" t="str">
        <f t="shared" si="41"/>
        <v>Taylor Hinds:1</v>
      </c>
    </row>
    <row r="1341" spans="1:21" x14ac:dyDescent="0.2">
      <c r="A1341" t="s">
        <v>544</v>
      </c>
      <c r="B1341" t="s">
        <v>622</v>
      </c>
      <c r="C1341" t="s">
        <v>623</v>
      </c>
      <c r="D1341" t="s">
        <v>42</v>
      </c>
      <c r="E1341" t="s">
        <v>32</v>
      </c>
      <c r="F1341">
        <v>25</v>
      </c>
      <c r="G1341">
        <v>1993</v>
      </c>
      <c r="H1341">
        <v>18</v>
      </c>
      <c r="I1341">
        <v>14</v>
      </c>
      <c r="J1341">
        <v>1253</v>
      </c>
      <c r="K1341">
        <v>3</v>
      </c>
      <c r="L1341">
        <v>4</v>
      </c>
      <c r="M1341">
        <v>3</v>
      </c>
      <c r="N1341">
        <v>0</v>
      </c>
      <c r="O1341">
        <v>0</v>
      </c>
      <c r="P1341">
        <v>0</v>
      </c>
      <c r="Q1341">
        <v>0</v>
      </c>
      <c r="R1341">
        <f t="shared" si="40"/>
        <v>2.6602819898909284E-5</v>
      </c>
      <c r="S1341" t="s">
        <v>548</v>
      </c>
      <c r="T1341">
        <v>47</v>
      </c>
      <c r="U1341" t="str">
        <f t="shared" si="41"/>
        <v>Tessa Wullaert:4</v>
      </c>
    </row>
    <row r="1342" spans="1:21" x14ac:dyDescent="0.2">
      <c r="A1342" t="s">
        <v>329</v>
      </c>
      <c r="B1342" t="s">
        <v>650</v>
      </c>
      <c r="C1342" t="s">
        <v>651</v>
      </c>
      <c r="D1342" t="s">
        <v>50</v>
      </c>
      <c r="E1342" t="s">
        <v>48</v>
      </c>
      <c r="F1342">
        <v>28</v>
      </c>
      <c r="G1342">
        <v>1990</v>
      </c>
      <c r="H1342">
        <v>19</v>
      </c>
      <c r="I1342">
        <v>19</v>
      </c>
      <c r="J1342">
        <v>1710</v>
      </c>
      <c r="K1342">
        <v>2</v>
      </c>
      <c r="L1342">
        <v>1</v>
      </c>
      <c r="M1342">
        <v>2</v>
      </c>
      <c r="N1342">
        <v>0</v>
      </c>
      <c r="O1342">
        <v>0</v>
      </c>
      <c r="P1342">
        <v>4</v>
      </c>
      <c r="Q1342">
        <v>0</v>
      </c>
      <c r="R1342">
        <f t="shared" si="40"/>
        <v>1.2995451591942819E-5</v>
      </c>
      <c r="S1342" t="s">
        <v>548</v>
      </c>
      <c r="T1342">
        <v>16</v>
      </c>
      <c r="U1342" t="str">
        <f t="shared" si="41"/>
        <v>Victoria Williams:1</v>
      </c>
    </row>
    <row r="1343" spans="1:21" x14ac:dyDescent="0.2">
      <c r="A1343" t="s">
        <v>406</v>
      </c>
      <c r="B1343" t="s">
        <v>668</v>
      </c>
      <c r="C1343" t="s">
        <v>669</v>
      </c>
      <c r="D1343" t="s">
        <v>94</v>
      </c>
      <c r="E1343" t="s">
        <v>27</v>
      </c>
      <c r="F1343">
        <v>27</v>
      </c>
      <c r="G1343">
        <v>1991</v>
      </c>
      <c r="H1343">
        <v>5</v>
      </c>
      <c r="I1343">
        <v>1</v>
      </c>
      <c r="J1343">
        <v>104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f t="shared" si="40"/>
        <v>0</v>
      </c>
      <c r="S1343" t="s">
        <v>548</v>
      </c>
      <c r="T1343">
        <v>54</v>
      </c>
      <c r="U1343" t="str">
        <f t="shared" si="41"/>
        <v>Viktoria Schnaderbeck:0</v>
      </c>
    </row>
    <row r="1344" spans="1:21" x14ac:dyDescent="0.2">
      <c r="A1344" t="s">
        <v>217</v>
      </c>
      <c r="B1344" t="s">
        <v>626</v>
      </c>
      <c r="C1344" t="s">
        <v>627</v>
      </c>
      <c r="D1344" t="s">
        <v>26</v>
      </c>
      <c r="E1344" t="s">
        <v>27</v>
      </c>
      <c r="F1344">
        <v>22</v>
      </c>
      <c r="G1344">
        <v>1996</v>
      </c>
      <c r="H1344">
        <v>20</v>
      </c>
      <c r="I1344">
        <v>20</v>
      </c>
      <c r="J1344">
        <v>1779</v>
      </c>
      <c r="K1344">
        <v>22</v>
      </c>
      <c r="L1344">
        <v>10</v>
      </c>
      <c r="M1344">
        <v>22</v>
      </c>
      <c r="N1344">
        <v>0</v>
      </c>
      <c r="O1344">
        <v>0</v>
      </c>
      <c r="P1344">
        <v>1</v>
      </c>
      <c r="Q1344">
        <v>0</v>
      </c>
      <c r="R1344">
        <f t="shared" si="40"/>
        <v>1.3740553369558428E-4</v>
      </c>
      <c r="S1344" t="s">
        <v>548</v>
      </c>
      <c r="T1344">
        <v>54</v>
      </c>
      <c r="U1344" t="str">
        <f t="shared" si="41"/>
        <v>Vivianne Miedema:10</v>
      </c>
    </row>
    <row r="1345" spans="1:21" x14ac:dyDescent="0.2">
      <c r="A1345" t="s">
        <v>597</v>
      </c>
      <c r="B1345" t="s">
        <v>650</v>
      </c>
      <c r="C1345" t="s">
        <v>651</v>
      </c>
      <c r="D1345" t="s">
        <v>29</v>
      </c>
      <c r="E1345" t="s">
        <v>24</v>
      </c>
      <c r="F1345">
        <v>22</v>
      </c>
      <c r="G1345">
        <v>1996</v>
      </c>
      <c r="H1345">
        <v>12</v>
      </c>
      <c r="I1345">
        <v>6</v>
      </c>
      <c r="J1345">
        <v>479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f t="shared" si="40"/>
        <v>0</v>
      </c>
      <c r="S1345" t="s">
        <v>548</v>
      </c>
      <c r="T1345">
        <v>23</v>
      </c>
      <c r="U1345" t="str">
        <f t="shared" si="41"/>
        <v>Vyan Sampson:0</v>
      </c>
    </row>
    <row r="1346" spans="1:21" x14ac:dyDescent="0.2">
      <c r="A1346" t="s">
        <v>105</v>
      </c>
      <c r="B1346" t="s">
        <v>622</v>
      </c>
      <c r="C1346" t="s">
        <v>623</v>
      </c>
      <c r="D1346" t="s">
        <v>23</v>
      </c>
      <c r="E1346" t="s">
        <v>65</v>
      </c>
      <c r="F1346">
        <v>26</v>
      </c>
      <c r="G1346">
        <v>1992</v>
      </c>
      <c r="H1346">
        <v>15</v>
      </c>
      <c r="I1346">
        <v>9</v>
      </c>
      <c r="J1346">
        <v>715</v>
      </c>
      <c r="K1346">
        <v>1</v>
      </c>
      <c r="L1346">
        <v>0</v>
      </c>
      <c r="M1346">
        <v>1</v>
      </c>
      <c r="N1346">
        <v>0</v>
      </c>
      <c r="O1346">
        <v>0</v>
      </c>
      <c r="P1346">
        <v>0</v>
      </c>
      <c r="Q1346">
        <v>0</v>
      </c>
      <c r="R1346">
        <f t="shared" si="40"/>
        <v>1.554001554001554E-5</v>
      </c>
      <c r="S1346" t="s">
        <v>548</v>
      </c>
      <c r="T1346">
        <v>22</v>
      </c>
      <c r="U1346" t="str">
        <f t="shared" si="41"/>
        <v>Yana Daniels:0</v>
      </c>
    </row>
  </sheetData>
  <conditionalFormatting sqref="P2:P1048576">
    <cfRule type="cellIs" dxfId="3" priority="3" operator="greaterThan">
      <formula>5</formula>
    </cfRule>
    <cfRule type="cellIs" dxfId="4" priority="2" operator="between">
      <formula>2</formula>
      <formula>4</formula>
    </cfRule>
    <cfRule type="cellIs" dxfId="5" priority="1" operator="lessThan">
      <formula>2</formula>
    </cfRule>
  </conditionalFormatting>
  <pageMargins left="0.78749999999999998" right="0.78749999999999998" top="1.0249999999999999" bottom="1.0249999999999999" header="0.78749999999999998" footer="0.78749999999999998"/>
  <pageSetup orientation="portrait" useFirstPageNumber="1" horizontalDpi="300" verticalDpi="300"/>
  <headerFooter>
    <oddHeader>&amp;C&amp;A</oddHeader>
    <oddFooter>&amp;CPage &amp;P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117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wtf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Chieloka G. Eze</cp:lastModifiedBy>
  <cp:revision>7</cp:revision>
  <dcterms:modified xsi:type="dcterms:W3CDTF">2023-09-18T13:39:01Z</dcterms:modified>
  <dc:language>en-US</dc:language>
</cp:coreProperties>
</file>